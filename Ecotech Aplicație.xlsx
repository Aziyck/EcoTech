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u\Downloads\"/>
    </mc:Choice>
  </mc:AlternateContent>
  <bookViews>
    <workbookView xWindow="1650" yWindow="0" windowWidth="14370" windowHeight="7350" activeTab="3"/>
  </bookViews>
  <sheets>
    <sheet name="Date Inițiale" sheetId="3" r:id="rId1"/>
    <sheet name="Alunecări" sheetId="4" r:id="rId2"/>
    <sheet name="Panta" sheetId="5" r:id="rId3"/>
    <sheet name="Temperatura medie anuală" sheetId="6" r:id="rId4"/>
    <sheet name="Precipitații" sheetId="7" r:id="rId5"/>
    <sheet name="Salinizarea&amp;Alcalizarea" sheetId="8" r:id="rId6"/>
    <sheet name="Gleizarea" sheetId="9" r:id="rId7"/>
    <sheet name="Pseudogleizare" sheetId="11" r:id="rId8"/>
    <sheet name="Adâncimea apelor freatice" sheetId="10" r:id="rId9"/>
    <sheet name="Textura" sheetId="13" r:id="rId10"/>
    <sheet name="Volumul edafic util" sheetId="14" r:id="rId11"/>
    <sheet name="Porozitatea" sheetId="15" r:id="rId12"/>
    <sheet name="pH" sheetId="16" r:id="rId13"/>
    <sheet name="Rezerva de humus" sheetId="17" r:id="rId14"/>
    <sheet name="Conținutul de carbonați" sheetId="20" r:id="rId15"/>
    <sheet name="Sheet2" sheetId="2" r:id="rId16"/>
    <sheet name="Sheet1" sheetId="1" r:id="rId1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7" i="6" l="1"/>
  <c r="S21" i="6"/>
  <c r="R29" i="6" l="1"/>
  <c r="P39" i="6" l="1"/>
  <c r="D5" i="3"/>
  <c r="I3" i="3"/>
  <c r="A41" i="3" l="1"/>
  <c r="A28" i="3"/>
  <c r="A27" i="3"/>
  <c r="A34" i="3"/>
  <c r="A26" i="3"/>
  <c r="A25" i="3"/>
  <c r="A33" i="3"/>
  <c r="A39" i="3"/>
  <c r="A37" i="3"/>
  <c r="A32" i="3"/>
  <c r="A31" i="3"/>
  <c r="A30" i="3"/>
  <c r="A38" i="3"/>
  <c r="A24" i="3"/>
  <c r="A23" i="3"/>
  <c r="A22" i="3"/>
  <c r="A21" i="3"/>
  <c r="A20" i="3"/>
  <c r="A19" i="3"/>
  <c r="A18" i="3"/>
  <c r="A29" i="3"/>
  <c r="A40" i="3"/>
  <c r="A36" i="3"/>
  <c r="A35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3" i="3"/>
  <c r="T3" i="3"/>
  <c r="T17" i="3"/>
  <c r="T5" i="3"/>
  <c r="T6" i="3"/>
  <c r="T7" i="3"/>
  <c r="T8" i="3"/>
  <c r="T9" i="3"/>
  <c r="T10" i="3"/>
  <c r="T11" i="3"/>
  <c r="T12" i="3"/>
  <c r="T13" i="3"/>
  <c r="T14" i="3"/>
  <c r="T15" i="3"/>
  <c r="T16" i="3"/>
  <c r="T18" i="3"/>
  <c r="T19" i="3"/>
  <c r="T20" i="3"/>
  <c r="T21" i="3"/>
  <c r="T22" i="3"/>
  <c r="T23" i="3"/>
  <c r="T24" i="3"/>
  <c r="T25" i="3"/>
  <c r="T26" i="3"/>
  <c r="T4" i="3"/>
  <c r="S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3" i="3"/>
  <c r="M3" i="3"/>
  <c r="Y34" i="6" l="1"/>
  <c r="Y35" i="6"/>
  <c r="Y36" i="6"/>
  <c r="Y37" i="6"/>
  <c r="AA34" i="6" s="1"/>
  <c r="AB34" i="6" s="1"/>
  <c r="AC34" i="6" s="1"/>
  <c r="S32" i="6"/>
  <c r="Q33" i="6"/>
  <c r="P33" i="6"/>
  <c r="AC35" i="6" l="1"/>
  <c r="V17" i="6"/>
  <c r="S17" i="6"/>
  <c r="T17" i="6"/>
  <c r="U17" i="6"/>
  <c r="W17" i="6"/>
  <c r="X17" i="6"/>
  <c r="Y17" i="6"/>
  <c r="AA17" i="6"/>
  <c r="AB17" i="6"/>
  <c r="AC17" i="6"/>
  <c r="R17" i="6"/>
  <c r="R20" i="6"/>
  <c r="S20" i="6"/>
  <c r="T20" i="6"/>
  <c r="U20" i="6"/>
  <c r="V20" i="6"/>
  <c r="W20" i="6"/>
  <c r="X20" i="6"/>
  <c r="Y20" i="6"/>
  <c r="Z20" i="6"/>
  <c r="AA20" i="6"/>
  <c r="AB20" i="6"/>
  <c r="AC20" i="6"/>
  <c r="R21" i="6"/>
  <c r="T21" i="6"/>
  <c r="U21" i="6"/>
  <c r="V21" i="6"/>
  <c r="W21" i="6"/>
  <c r="X21" i="6"/>
  <c r="Y21" i="6"/>
  <c r="Z21" i="6"/>
  <c r="AA21" i="6"/>
  <c r="AB21" i="6"/>
  <c r="AC21" i="6"/>
  <c r="R22" i="6"/>
  <c r="S22" i="6"/>
  <c r="T22" i="6"/>
  <c r="U22" i="6"/>
  <c r="V22" i="6"/>
  <c r="W22" i="6"/>
  <c r="X22" i="6"/>
  <c r="Y22" i="6"/>
  <c r="Z22" i="6"/>
  <c r="AA22" i="6"/>
  <c r="AB22" i="6"/>
  <c r="AC22" i="6"/>
  <c r="R23" i="6"/>
  <c r="S23" i="6"/>
  <c r="T23" i="6"/>
  <c r="U23" i="6"/>
  <c r="V23" i="6"/>
  <c r="W23" i="6"/>
  <c r="X23" i="6"/>
  <c r="Y23" i="6"/>
  <c r="Z23" i="6"/>
  <c r="AA23" i="6"/>
  <c r="AB23" i="6"/>
  <c r="AC23" i="6"/>
  <c r="R24" i="6"/>
  <c r="S24" i="6"/>
  <c r="T24" i="6"/>
  <c r="U24" i="6"/>
  <c r="V24" i="6"/>
  <c r="W24" i="6"/>
  <c r="X24" i="6"/>
  <c r="Y24" i="6"/>
  <c r="Z24" i="6"/>
  <c r="AA24" i="6"/>
  <c r="AB24" i="6"/>
  <c r="AC24" i="6"/>
  <c r="R25" i="6"/>
  <c r="S25" i="6"/>
  <c r="T25" i="6"/>
  <c r="U25" i="6"/>
  <c r="V25" i="6"/>
  <c r="W25" i="6"/>
  <c r="X25" i="6"/>
  <c r="Y25" i="6"/>
  <c r="Z25" i="6"/>
  <c r="AA25" i="6"/>
  <c r="AB25" i="6"/>
  <c r="AC25" i="6"/>
  <c r="R26" i="6"/>
  <c r="S26" i="6"/>
  <c r="T26" i="6"/>
  <c r="U26" i="6"/>
  <c r="V26" i="6"/>
  <c r="W26" i="6"/>
  <c r="X26" i="6"/>
  <c r="Y26" i="6"/>
  <c r="Z26" i="6"/>
  <c r="AA26" i="6"/>
  <c r="AB26" i="6"/>
  <c r="AC26" i="6"/>
  <c r="R27" i="6"/>
  <c r="S27" i="6"/>
  <c r="T27" i="6"/>
  <c r="U27" i="6"/>
  <c r="V27" i="6"/>
  <c r="W27" i="6"/>
  <c r="X27" i="6"/>
  <c r="Y27" i="6"/>
  <c r="Z27" i="6"/>
  <c r="AA27" i="6"/>
  <c r="AB27" i="6"/>
  <c r="AC27" i="6"/>
  <c r="R28" i="6"/>
  <c r="S28" i="6"/>
  <c r="T28" i="6"/>
  <c r="U28" i="6"/>
  <c r="V28" i="6"/>
  <c r="W28" i="6"/>
  <c r="X28" i="6"/>
  <c r="Y28" i="6"/>
  <c r="Z28" i="6"/>
  <c r="AA28" i="6"/>
  <c r="AB28" i="6"/>
  <c r="AC28" i="6"/>
  <c r="S29" i="6"/>
  <c r="T29" i="6"/>
  <c r="U29" i="6"/>
  <c r="V29" i="6"/>
  <c r="W29" i="6"/>
  <c r="X29" i="6"/>
  <c r="Y29" i="6"/>
  <c r="Z29" i="6"/>
  <c r="AA29" i="6"/>
  <c r="AB29" i="6"/>
  <c r="AC29" i="6"/>
  <c r="R30" i="6"/>
  <c r="S30" i="6"/>
  <c r="T30" i="6"/>
  <c r="U30" i="6"/>
  <c r="V30" i="6"/>
  <c r="W30" i="6"/>
  <c r="X30" i="6"/>
  <c r="Y30" i="6"/>
  <c r="Z30" i="6"/>
  <c r="AA30" i="6"/>
  <c r="AB30" i="6"/>
  <c r="AC30" i="6"/>
  <c r="R19" i="6"/>
  <c r="AC19" i="6"/>
  <c r="AB19" i="6"/>
  <c r="AA19" i="6"/>
  <c r="Z19" i="6"/>
  <c r="Y19" i="6"/>
  <c r="X19" i="6"/>
  <c r="W19" i="6"/>
  <c r="V19" i="6"/>
  <c r="U19" i="6"/>
  <c r="T19" i="6"/>
  <c r="S19" i="6"/>
  <c r="Q36" i="6" l="1"/>
  <c r="P42" i="6"/>
  <c r="D4" i="3" s="1"/>
  <c r="P36" i="6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Q39" i="6"/>
  <c r="L9" i="3" l="1"/>
  <c r="L19" i="3"/>
  <c r="L4" i="3"/>
  <c r="L10" i="3"/>
  <c r="L24" i="3"/>
  <c r="L23" i="3"/>
  <c r="L7" i="3"/>
  <c r="L22" i="3"/>
  <c r="L20" i="3"/>
  <c r="L5" i="3"/>
  <c r="L13" i="3"/>
  <c r="L6" i="3"/>
  <c r="L11" i="3"/>
  <c r="L17" i="3"/>
  <c r="L15" i="3"/>
  <c r="L8" i="3"/>
  <c r="L18" i="3"/>
  <c r="L26" i="3"/>
  <c r="L25" i="3"/>
  <c r="L21" i="3"/>
  <c r="L12" i="3"/>
  <c r="L3" i="3"/>
  <c r="L14" i="3"/>
  <c r="L16" i="3"/>
  <c r="K4" i="3"/>
  <c r="H4" i="3" s="1"/>
  <c r="B40" i="3" s="1"/>
  <c r="K16" i="3"/>
  <c r="K5" i="3"/>
  <c r="K17" i="3"/>
  <c r="K6" i="3"/>
  <c r="K18" i="3"/>
  <c r="H18" i="3" s="1"/>
  <c r="B39" i="3" s="1"/>
  <c r="K22" i="3"/>
  <c r="H22" i="3" s="1"/>
  <c r="B34" i="3" s="1"/>
  <c r="K25" i="3"/>
  <c r="K7" i="3"/>
  <c r="H7" i="3" s="1"/>
  <c r="B19" i="3" s="1"/>
  <c r="K19" i="3"/>
  <c r="H19" i="3" s="1"/>
  <c r="B33" i="3" s="1"/>
  <c r="K20" i="3"/>
  <c r="K13" i="3"/>
  <c r="K8" i="3"/>
  <c r="K9" i="3"/>
  <c r="H9" i="3" s="1"/>
  <c r="B21" i="3" s="1"/>
  <c r="K21" i="3"/>
  <c r="K10" i="3"/>
  <c r="H10" i="3" s="1"/>
  <c r="B22" i="3" s="1"/>
  <c r="K14" i="3"/>
  <c r="K11" i="3"/>
  <c r="K23" i="3"/>
  <c r="K24" i="3"/>
  <c r="H24" i="3" s="1"/>
  <c r="B28" i="3" s="1"/>
  <c r="K26" i="3"/>
  <c r="K12" i="3"/>
  <c r="K15" i="3"/>
  <c r="K3" i="3"/>
  <c r="H3" i="3" s="1"/>
  <c r="B36" i="3" s="1"/>
  <c r="H11" i="3" l="1"/>
  <c r="B23" i="3" s="1"/>
  <c r="H17" i="3"/>
  <c r="B37" i="3" s="1"/>
  <c r="H20" i="3"/>
  <c r="B25" i="3" s="1"/>
  <c r="H15" i="3"/>
  <c r="B31" i="3" s="1"/>
  <c r="H12" i="3"/>
  <c r="B24" i="3" s="1"/>
  <c r="H21" i="3"/>
  <c r="B26" i="3" s="1"/>
  <c r="H23" i="3"/>
  <c r="B27" i="3" s="1"/>
  <c r="H6" i="3"/>
  <c r="B18" i="3" s="1"/>
  <c r="H25" i="3"/>
  <c r="B41" i="3" s="1"/>
  <c r="H8" i="3"/>
  <c r="B20" i="3" s="1"/>
  <c r="H5" i="3"/>
  <c r="B29" i="3" s="1"/>
  <c r="H13" i="3"/>
  <c r="B38" i="3" s="1"/>
  <c r="H26" i="3"/>
  <c r="B35" i="3" s="1"/>
  <c r="H14" i="3"/>
  <c r="B30" i="3" s="1"/>
  <c r="H16" i="3"/>
  <c r="B32" i="3" s="1"/>
</calcChain>
</file>

<file path=xl/sharedStrings.xml><?xml version="1.0" encoding="utf-8"?>
<sst xmlns="http://schemas.openxmlformats.org/spreadsheetml/2006/main" count="709" uniqueCount="183">
  <si>
    <t>PS (Pășuni)</t>
  </si>
  <si>
    <t>FN (Fânețe)</t>
  </si>
  <si>
    <t>MR (Măr)</t>
  </si>
  <si>
    <t>PR (Păr)</t>
  </si>
  <si>
    <t>PN (Prun)</t>
  </si>
  <si>
    <t>CV (Cireș)</t>
  </si>
  <si>
    <t>CS (Cais)</t>
  </si>
  <si>
    <t>PC (Piersic)</t>
  </si>
  <si>
    <t>VV (Vie-vin)</t>
  </si>
  <si>
    <t>VM (Vie-masă)</t>
  </si>
  <si>
    <t>GR (Grâu)</t>
  </si>
  <si>
    <t>OR (Orz)</t>
  </si>
  <si>
    <t>PB (Porumb)</t>
  </si>
  <si>
    <t>FS (Floarea soarelui)</t>
  </si>
  <si>
    <t>CT (Cartof)</t>
  </si>
  <si>
    <t>SF (Sfeclă de zahăr)</t>
  </si>
  <si>
    <t>SO (Soia)</t>
  </si>
  <si>
    <t>MF (Mazăre-fasole)</t>
  </si>
  <si>
    <t>IU (In ulei)</t>
  </si>
  <si>
    <t>IF (In fibre)</t>
  </si>
  <si>
    <t>CN (Cânepă)</t>
  </si>
  <si>
    <t>LU (Lucernă)</t>
  </si>
  <si>
    <t>TR (Trifoi)</t>
  </si>
  <si>
    <t>LG (Legume)</t>
  </si>
  <si>
    <t>Cultura</t>
  </si>
  <si>
    <t>Absente</t>
  </si>
  <si>
    <t>Stabilizate</t>
  </si>
  <si>
    <t>Semistabilizate</t>
  </si>
  <si>
    <t>Active</t>
  </si>
  <si>
    <t>Panta</t>
  </si>
  <si>
    <t>Caracterul alunecărilor de teren</t>
  </si>
  <si>
    <t>Media anuală a temperaturii aerului</t>
  </si>
  <si>
    <t>Salinizarea sau alcalizarea</t>
  </si>
  <si>
    <t>Nesalinizat/-alcalizat</t>
  </si>
  <si>
    <t>Slab salinizat/alcalizat</t>
  </si>
  <si>
    <t>Moderat salinizat/alcalizat</t>
  </si>
  <si>
    <t>Puternic salinizat/alcalizat</t>
  </si>
  <si>
    <t>Foarte puternic salinizat/alcalizat</t>
  </si>
  <si>
    <t>Gradul de gleizare naturală</t>
  </si>
  <si>
    <t>Negleizat</t>
  </si>
  <si>
    <t>Cu gleizare în adâncime</t>
  </si>
  <si>
    <t>Gleizat slab</t>
  </si>
  <si>
    <t>Gleizat moderat</t>
  </si>
  <si>
    <t>Gleizat puternic</t>
  </si>
  <si>
    <t>Gleizat foarte puternic</t>
  </si>
  <si>
    <t>Gleizat excesiv</t>
  </si>
  <si>
    <t>Submers</t>
  </si>
  <si>
    <t>Gradul de gleizare artificială</t>
  </si>
  <si>
    <t>Nepseudogleizat</t>
  </si>
  <si>
    <t>Cu pseudogleizare în adâncime</t>
  </si>
  <si>
    <t>Pseudogleizat slab</t>
  </si>
  <si>
    <t>Pseudogleizat moderat</t>
  </si>
  <si>
    <t>Pseudogleizat puternic</t>
  </si>
  <si>
    <t>Pseudogleizat foarte puternic</t>
  </si>
  <si>
    <t>Pseudogleizat excesiv</t>
  </si>
  <si>
    <t>Gradul de pseudogleizare</t>
  </si>
  <si>
    <t>Textura</t>
  </si>
  <si>
    <t>Adâncimea apelor freatice</t>
  </si>
  <si>
    <t>Grosieră</t>
  </si>
  <si>
    <t>Superficială</t>
  </si>
  <si>
    <t>Extrem de mică</t>
  </si>
  <si>
    <t>Foarte mică</t>
  </si>
  <si>
    <t>Mică</t>
  </si>
  <si>
    <t>Mijlocie</t>
  </si>
  <si>
    <t>Mare</t>
  </si>
  <si>
    <t>Foarte mare</t>
  </si>
  <si>
    <t>Izvoare de coastă</t>
  </si>
  <si>
    <t>Fină</t>
  </si>
  <si>
    <t>Tipul texturii</t>
  </si>
  <si>
    <t>Luto-nisipoasă (≥70% 0,01mm+)</t>
  </si>
  <si>
    <t>Nisipo-lutoasă (≥80% 0,01mm+)</t>
  </si>
  <si>
    <t>Nisipoasă (≥90% 0,01mm+)</t>
  </si>
  <si>
    <t>Lutoasă (≥55% 0,01mm+)</t>
  </si>
  <si>
    <t>Argiloasă (≥35% 0,01mm+)</t>
  </si>
  <si>
    <r>
      <t>Sedimente cu &gt;40% 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</si>
  <si>
    <t>Roci compacte fisurate și pietrișuri</t>
  </si>
  <si>
    <t>Roci compacte dure și impermeabile</t>
  </si>
  <si>
    <t>Depozite organice</t>
  </si>
  <si>
    <t>Soluri cu porozitate mică - mijlocie</t>
  </si>
  <si>
    <r>
      <t>Argiloasă grea (</t>
    </r>
    <r>
      <rPr>
        <b/>
        <sz val="11"/>
        <color theme="1"/>
        <rFont val="Calibri"/>
        <family val="2"/>
        <charset val="204"/>
      </rPr>
      <t>&lt;3</t>
    </r>
    <r>
      <rPr>
        <b/>
        <sz val="11"/>
        <color theme="1"/>
        <rFont val="Calibri"/>
        <family val="2"/>
        <charset val="204"/>
        <scheme val="minor"/>
      </rPr>
      <t>5% 0,01mm+)</t>
    </r>
  </si>
  <si>
    <r>
      <t>Argiloasă grea (</t>
    </r>
    <r>
      <rPr>
        <b/>
        <sz val="11"/>
        <color theme="1"/>
        <rFont val="Calibri"/>
        <family val="2"/>
        <charset val="204"/>
      </rPr>
      <t>&lt;1</t>
    </r>
    <r>
      <rPr>
        <b/>
        <sz val="11"/>
        <color theme="1"/>
        <rFont val="Calibri"/>
        <family val="2"/>
        <charset val="204"/>
        <scheme val="minor"/>
      </rPr>
      <t>5% 0,01mm+)</t>
    </r>
  </si>
  <si>
    <t>Argiloasă (≥15% 0,01mm+)</t>
  </si>
  <si>
    <t>Luto-argiloasă (≥35% 0,01mm+)</t>
  </si>
  <si>
    <t>Volumul edafic util</t>
  </si>
  <si>
    <r>
      <t>P</t>
    </r>
    <r>
      <rPr>
        <b/>
        <sz val="11"/>
        <color theme="1"/>
        <rFont val="Calibri"/>
        <family val="2"/>
        <charset val="204"/>
      </rPr>
      <t>≤5%</t>
    </r>
  </si>
  <si>
    <r>
      <t>V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10%</t>
    </r>
  </si>
  <si>
    <t>Precipitații medii anuale &lt;600</t>
  </si>
  <si>
    <t>Porozitatea</t>
  </si>
  <si>
    <t>Soluri cu textură fină</t>
  </si>
  <si>
    <t>Soluri cu altă textură, decât fină</t>
  </si>
  <si>
    <t>pH</t>
  </si>
  <si>
    <r>
      <t>P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85%</t>
    </r>
  </si>
  <si>
    <r>
      <t>70%&gt;P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60%</t>
    </r>
  </si>
  <si>
    <t>Soluri cu porozitate normală - extrem de mare</t>
  </si>
  <si>
    <r>
      <t>pH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3,5</t>
    </r>
  </si>
  <si>
    <r>
      <t>4,3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pH&gt;3,5</t>
    </r>
  </si>
  <si>
    <r>
      <rPr>
        <b/>
        <sz val="11"/>
        <color theme="1"/>
        <rFont val="Calibri"/>
        <family val="2"/>
        <charset val="204"/>
      </rPr>
      <t>5,1≥</t>
    </r>
    <r>
      <rPr>
        <b/>
        <sz val="11"/>
        <color theme="1"/>
        <rFont val="Calibri"/>
        <family val="2"/>
        <charset val="204"/>
        <scheme val="minor"/>
      </rPr>
      <t>pH&gt;4,3</t>
    </r>
  </si>
  <si>
    <r>
      <rPr>
        <b/>
        <sz val="11"/>
        <color theme="1"/>
        <rFont val="Calibri"/>
        <family val="2"/>
        <charset val="204"/>
      </rPr>
      <t>5,4≥</t>
    </r>
    <r>
      <rPr>
        <b/>
        <sz val="11"/>
        <color theme="1"/>
        <rFont val="Calibri"/>
        <family val="2"/>
        <charset val="204"/>
        <scheme val="minor"/>
      </rPr>
      <t>pH&gt;5,1</t>
    </r>
  </si>
  <si>
    <r>
      <rPr>
        <b/>
        <sz val="11"/>
        <color theme="1"/>
        <rFont val="Calibri"/>
        <family val="2"/>
        <charset val="204"/>
      </rPr>
      <t>5,8≥</t>
    </r>
    <r>
      <rPr>
        <b/>
        <sz val="11"/>
        <color theme="1"/>
        <rFont val="Calibri"/>
        <family val="2"/>
        <charset val="204"/>
        <scheme val="minor"/>
      </rPr>
      <t>pH&gt;5,4</t>
    </r>
  </si>
  <si>
    <r>
      <rPr>
        <b/>
        <sz val="11"/>
        <color theme="1"/>
        <rFont val="Calibri"/>
        <family val="2"/>
        <charset val="204"/>
      </rPr>
      <t>6,4≥</t>
    </r>
    <r>
      <rPr>
        <b/>
        <sz val="11"/>
        <color theme="1"/>
        <rFont val="Calibri"/>
        <family val="2"/>
        <charset val="204"/>
        <scheme val="minor"/>
      </rPr>
      <t>pH&gt;5,8</t>
    </r>
  </si>
  <si>
    <r>
      <rPr>
        <b/>
        <sz val="11"/>
        <color theme="1"/>
        <rFont val="Calibri"/>
        <family val="2"/>
        <charset val="204"/>
      </rPr>
      <t>6,8≥</t>
    </r>
    <r>
      <rPr>
        <b/>
        <sz val="11"/>
        <color theme="1"/>
        <rFont val="Calibri"/>
        <family val="2"/>
        <charset val="204"/>
        <scheme val="minor"/>
      </rPr>
      <t>pH&gt;6,4</t>
    </r>
  </si>
  <si>
    <r>
      <rPr>
        <b/>
        <sz val="11"/>
        <color theme="1"/>
        <rFont val="Calibri"/>
        <family val="2"/>
        <charset val="204"/>
      </rPr>
      <t>7,2≥</t>
    </r>
    <r>
      <rPr>
        <b/>
        <sz val="11"/>
        <color theme="1"/>
        <rFont val="Calibri"/>
        <family val="2"/>
        <charset val="204"/>
        <scheme val="minor"/>
      </rPr>
      <t>pH&gt;6,8</t>
    </r>
  </si>
  <si>
    <r>
      <rPr>
        <b/>
        <sz val="11"/>
        <color theme="1"/>
        <rFont val="Calibri"/>
        <family val="2"/>
        <charset val="204"/>
      </rPr>
      <t>7,8≥</t>
    </r>
    <r>
      <rPr>
        <b/>
        <sz val="11"/>
        <color theme="1"/>
        <rFont val="Calibri"/>
        <family val="2"/>
        <charset val="204"/>
        <scheme val="minor"/>
      </rPr>
      <t>pH&gt;7,2</t>
    </r>
  </si>
  <si>
    <r>
      <rPr>
        <b/>
        <sz val="11"/>
        <color theme="1"/>
        <rFont val="Calibri"/>
        <family val="2"/>
        <charset val="204"/>
      </rPr>
      <t>8,4≥</t>
    </r>
    <r>
      <rPr>
        <b/>
        <sz val="11"/>
        <color theme="1"/>
        <rFont val="Calibri"/>
        <family val="2"/>
        <charset val="204"/>
        <scheme val="minor"/>
      </rPr>
      <t>pH&gt;7,8</t>
    </r>
  </si>
  <si>
    <r>
      <rPr>
        <b/>
        <sz val="11"/>
        <color theme="1"/>
        <rFont val="Calibri"/>
        <family val="2"/>
        <charset val="204"/>
      </rPr>
      <t>9≥</t>
    </r>
    <r>
      <rPr>
        <b/>
        <sz val="11"/>
        <color theme="1"/>
        <rFont val="Calibri"/>
        <family val="2"/>
        <charset val="204"/>
        <scheme val="minor"/>
      </rPr>
      <t>pH&gt;8,4</t>
    </r>
  </si>
  <si>
    <r>
      <rPr>
        <b/>
        <sz val="11"/>
        <color theme="1"/>
        <rFont val="Calibri"/>
        <family val="2"/>
        <charset val="204"/>
      </rPr>
      <t>9,4≥</t>
    </r>
    <r>
      <rPr>
        <b/>
        <sz val="11"/>
        <color theme="1"/>
        <rFont val="Calibri"/>
        <family val="2"/>
        <charset val="204"/>
        <scheme val="minor"/>
      </rPr>
      <t>pH&gt;9</t>
    </r>
  </si>
  <si>
    <t>pH&gt;10</t>
  </si>
  <si>
    <t>Soluri cu grad de saturație în primii 20 de cm sau în Ap&lt;55%</t>
  </si>
  <si>
    <t>Soluri cu grad de saturație în primii 20 de cm sau în Ap&gt;55%</t>
  </si>
  <si>
    <r>
      <rPr>
        <b/>
        <sz val="11"/>
        <color theme="1"/>
        <rFont val="Calibri"/>
        <family val="2"/>
        <charset val="204"/>
      </rPr>
      <t>10≥</t>
    </r>
    <r>
      <rPr>
        <b/>
        <sz val="11"/>
        <color theme="1"/>
        <rFont val="Calibri"/>
        <family val="2"/>
        <charset val="204"/>
        <scheme val="minor"/>
      </rPr>
      <t>pH&gt;9,4</t>
    </r>
  </si>
  <si>
    <t>Soluri cu textură grosieră</t>
  </si>
  <si>
    <t>Rezerva de humus, t/ha</t>
  </si>
  <si>
    <t>&lt;30</t>
  </si>
  <si>
    <r>
      <t>30</t>
    </r>
    <r>
      <rPr>
        <b/>
        <sz val="11"/>
        <color theme="1"/>
        <rFont val="Calibri"/>
        <family val="2"/>
        <charset val="204"/>
      </rPr>
      <t>≤H&lt;60</t>
    </r>
  </si>
  <si>
    <r>
      <t>120</t>
    </r>
    <r>
      <rPr>
        <b/>
        <sz val="11"/>
        <color theme="1"/>
        <rFont val="Calibri"/>
        <family val="2"/>
        <charset val="204"/>
      </rPr>
      <t>≤H&lt;160</t>
    </r>
  </si>
  <si>
    <r>
      <t>160</t>
    </r>
    <r>
      <rPr>
        <b/>
        <sz val="11"/>
        <color theme="1"/>
        <rFont val="Calibri"/>
        <family val="2"/>
        <charset val="204"/>
      </rPr>
      <t>≤H&lt;200</t>
    </r>
  </si>
  <si>
    <r>
      <t>250</t>
    </r>
    <r>
      <rPr>
        <b/>
        <sz val="11"/>
        <color theme="1"/>
        <rFont val="Calibri"/>
        <family val="2"/>
        <charset val="204"/>
      </rPr>
      <t>≤H&lt;300</t>
    </r>
  </si>
  <si>
    <r>
      <t>600</t>
    </r>
    <r>
      <rPr>
        <b/>
        <sz val="11"/>
        <color theme="1"/>
        <rFont val="Calibri"/>
        <family val="2"/>
        <charset val="204"/>
      </rPr>
      <t>≤H</t>
    </r>
  </si>
  <si>
    <r>
      <t>60</t>
    </r>
    <r>
      <rPr>
        <b/>
        <sz val="11"/>
        <color theme="1"/>
        <rFont val="Calibri"/>
        <family val="2"/>
        <charset val="204"/>
      </rPr>
      <t>≤H&lt;120</t>
    </r>
  </si>
  <si>
    <t>200≤H&lt;250</t>
  </si>
  <si>
    <t>300≤H&lt;400</t>
  </si>
  <si>
    <r>
      <t>400</t>
    </r>
    <r>
      <rPr>
        <b/>
        <sz val="11"/>
        <color theme="1"/>
        <rFont val="Calibri"/>
        <family val="2"/>
        <charset val="204"/>
      </rPr>
      <t>≤H&lt;600</t>
    </r>
  </si>
  <si>
    <t>Soluri cu textură fină și mijlocie</t>
  </si>
  <si>
    <t>Conținutul de carbonați</t>
  </si>
  <si>
    <r>
      <t>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4</t>
    </r>
  </si>
  <si>
    <r>
      <t>4&lt;CaCO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≤8</t>
    </r>
  </si>
  <si>
    <r>
      <t>8&lt;CaCO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≤12</t>
    </r>
  </si>
  <si>
    <r>
      <t>12&lt;CaCO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≤15</t>
    </r>
  </si>
  <si>
    <r>
      <t>15&lt;CaCO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≤20</t>
    </r>
  </si>
  <si>
    <r>
      <t>20&lt;CaCO</t>
    </r>
    <r>
      <rPr>
        <b/>
        <vertAlign val="subscript"/>
        <sz val="11"/>
        <color theme="1"/>
        <rFont val="Calibri"/>
        <family val="2"/>
        <charset val="204"/>
        <scheme val="minor"/>
      </rPr>
      <t>3</t>
    </r>
    <r>
      <rPr>
        <b/>
        <sz val="11"/>
        <color theme="1"/>
        <rFont val="Calibri"/>
        <family val="2"/>
        <charset val="204"/>
      </rPr>
      <t>≤25</t>
    </r>
  </si>
  <si>
    <t>40&lt;CaCO3</t>
  </si>
  <si>
    <t>Solul</t>
  </si>
  <si>
    <t>Alunecări</t>
  </si>
  <si>
    <r>
      <t>5%&lt;P</t>
    </r>
    <r>
      <rPr>
        <b/>
        <sz val="11"/>
        <color theme="1"/>
        <rFont val="Calibri"/>
        <family val="2"/>
        <charset val="204"/>
      </rPr>
      <t>≤10%</t>
    </r>
  </si>
  <si>
    <r>
      <t>10%&lt;P</t>
    </r>
    <r>
      <rPr>
        <b/>
        <sz val="11"/>
        <color theme="1"/>
        <rFont val="Calibri"/>
        <family val="2"/>
        <charset val="204"/>
      </rPr>
      <t>≤15%</t>
    </r>
  </si>
  <si>
    <r>
      <t>15%&lt;P</t>
    </r>
    <r>
      <rPr>
        <b/>
        <sz val="11"/>
        <color theme="1"/>
        <rFont val="Calibri"/>
        <family val="2"/>
        <charset val="204"/>
      </rPr>
      <t>≤20%</t>
    </r>
  </si>
  <si>
    <r>
      <t>20%&lt;P</t>
    </r>
    <r>
      <rPr>
        <b/>
        <sz val="11"/>
        <color theme="1"/>
        <rFont val="Calibri"/>
        <family val="2"/>
        <charset val="204"/>
      </rPr>
      <t>≤25%</t>
    </r>
  </si>
  <si>
    <t>Precipitații</t>
  </si>
  <si>
    <t>Salinizarea/Alcalizarea</t>
  </si>
  <si>
    <t>Gleizarea</t>
  </si>
  <si>
    <t>Pseudogleizarea</t>
  </si>
  <si>
    <t>Temperatura medie anuală</t>
  </si>
  <si>
    <t>Rezerva de humus</t>
  </si>
  <si>
    <r>
      <t>Precipitații, mm (8&lt;X&lt;10</t>
    </r>
    <r>
      <rPr>
        <b/>
        <sz val="11"/>
        <color theme="1"/>
        <rFont val="Calibri"/>
        <family val="2"/>
        <charset val="204"/>
      </rPr>
      <t>° temp. an. med.)</t>
    </r>
  </si>
  <si>
    <r>
      <t>Precipitații, mm (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8</t>
    </r>
    <r>
      <rPr>
        <b/>
        <sz val="11"/>
        <color theme="1"/>
        <rFont val="Calibri"/>
        <family val="2"/>
        <charset val="204"/>
      </rPr>
      <t>° temp. an. med.)</t>
    </r>
  </si>
  <si>
    <r>
      <t>10%&lt;V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20%</t>
    </r>
  </si>
  <si>
    <r>
      <t>20%&lt;V</t>
    </r>
    <r>
      <rPr>
        <b/>
        <sz val="11"/>
        <color theme="1"/>
        <rFont val="Calibri"/>
        <family val="2"/>
        <charset val="204"/>
      </rPr>
      <t>≤</t>
    </r>
    <r>
      <rPr>
        <b/>
        <sz val="11"/>
        <color theme="1"/>
        <rFont val="Calibri"/>
        <family val="2"/>
        <charset val="204"/>
        <scheme val="minor"/>
      </rPr>
      <t>50%</t>
    </r>
  </si>
  <si>
    <r>
      <t>50%&lt;V</t>
    </r>
    <r>
      <rPr>
        <b/>
        <sz val="11"/>
        <color theme="1"/>
        <rFont val="Calibri"/>
        <family val="2"/>
        <charset val="204"/>
      </rPr>
      <t>≤75%</t>
    </r>
  </si>
  <si>
    <r>
      <t>75%&lt;V</t>
    </r>
    <r>
      <rPr>
        <b/>
        <sz val="11"/>
        <color theme="1"/>
        <rFont val="Calibri"/>
        <family val="2"/>
        <charset val="204"/>
      </rPr>
      <t>≤100%</t>
    </r>
  </si>
  <si>
    <t>100%&lt;V</t>
  </si>
  <si>
    <t>Note de bonitare</t>
  </si>
  <si>
    <t>Generală</t>
  </si>
  <si>
    <t>160≤H&lt;200</t>
  </si>
  <si>
    <t>CaCO3≤4</t>
  </si>
  <si>
    <t>Specificații</t>
  </si>
  <si>
    <t>Orientarea</t>
  </si>
  <si>
    <t>N</t>
  </si>
  <si>
    <t>E</t>
  </si>
  <si>
    <t>S</t>
  </si>
  <si>
    <t>V</t>
  </si>
  <si>
    <t>Temperatura</t>
  </si>
  <si>
    <t>Corectată</t>
  </si>
  <si>
    <t>Row Index</t>
  </si>
  <si>
    <t>Min value + count</t>
  </si>
  <si>
    <t>Temperaturile</t>
  </si>
  <si>
    <t>t. med.</t>
  </si>
  <si>
    <t>t. med. corect.</t>
  </si>
  <si>
    <t>t. med. corect. (?)</t>
  </si>
  <si>
    <t>Cf. de corecție</t>
  </si>
  <si>
    <t>P≤5%</t>
  </si>
  <si>
    <t>Drenaj și/sau desecare</t>
  </si>
  <si>
    <t>Da</t>
  </si>
  <si>
    <t>Nu</t>
  </si>
  <si>
    <t>60%&gt;P</t>
  </si>
  <si>
    <t>P≥85%</t>
  </si>
  <si>
    <r>
      <t>75%&gt;P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70%</t>
    </r>
  </si>
  <si>
    <r>
      <t>85%&gt;P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75%</t>
    </r>
  </si>
  <si>
    <t>Adâncimea saturației</t>
  </si>
  <si>
    <t>pH≤3,5</t>
  </si>
  <si>
    <r>
      <t xml:space="preserve">Precipitații medii anuale 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600</t>
    </r>
  </si>
  <si>
    <t>75%&lt;V≤100%</t>
  </si>
  <si>
    <r>
      <t>Precipitații, mm (</t>
    </r>
    <r>
      <rPr>
        <b/>
        <sz val="11"/>
        <color theme="1"/>
        <rFont val="Calibri"/>
        <family val="2"/>
        <charset val="204"/>
      </rPr>
      <t>≥</t>
    </r>
    <r>
      <rPr>
        <b/>
        <sz val="11"/>
        <color theme="1"/>
        <rFont val="Calibri"/>
        <family val="2"/>
        <charset val="204"/>
        <scheme val="minor"/>
      </rPr>
      <t>10</t>
    </r>
    <r>
      <rPr>
        <b/>
        <sz val="11"/>
        <color theme="1"/>
        <rFont val="Calibri"/>
        <family val="2"/>
        <charset val="204"/>
      </rPr>
      <t>° temp. an. med.)</t>
    </r>
  </si>
  <si>
    <t>Nota de bonitare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</si>
</sst>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%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Border="1"/>
    <xf numFmtId="0" fontId="1" fillId="0" borderId="5" xfId="0" applyFont="1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0" xfId="0" applyFill="1" applyBorder="1"/>
    <xf numFmtId="0" fontId="0" fillId="0" borderId="7" xfId="0" applyFill="1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1" fillId="0" borderId="4" xfId="0" applyFont="1" applyBorder="1" applyAlignment="1">
      <alignment horizontal="center"/>
    </xf>
    <xf numFmtId="0" fontId="0" fillId="0" borderId="0" xfId="0" applyNumberFormat="1" applyBorder="1"/>
    <xf numFmtId="0" fontId="1" fillId="0" borderId="0" xfId="0" applyFont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2" xfId="0" applyBorder="1"/>
    <xf numFmtId="0" fontId="0" fillId="0" borderId="13" xfId="0" applyBorder="1"/>
    <xf numFmtId="164" fontId="0" fillId="0" borderId="0" xfId="1" applyNumberFormat="1" applyFont="1"/>
    <xf numFmtId="164" fontId="0" fillId="0" borderId="0" xfId="1" applyNumberFormat="1" applyFont="1" applyBorder="1"/>
    <xf numFmtId="0" fontId="0" fillId="0" borderId="0" xfId="0" applyFill="1"/>
    <xf numFmtId="0" fontId="0" fillId="0" borderId="0" xfId="0" applyFont="1" applyAlignment="1"/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1"/>
  <sheetViews>
    <sheetView zoomScaleNormal="100" workbookViewId="0">
      <selection activeCell="D27" sqref="D27"/>
    </sheetView>
  </sheetViews>
  <sheetFormatPr defaultRowHeight="15" x14ac:dyDescent="0.25"/>
  <cols>
    <col min="1" max="1" width="25.28515625" bestFit="1" customWidth="1"/>
    <col min="2" max="2" width="22" customWidth="1"/>
    <col min="3" max="3" width="20.7109375" customWidth="1"/>
    <col min="4" max="4" width="31" customWidth="1"/>
    <col min="5" max="5" width="9.140625" bestFit="1" customWidth="1"/>
    <col min="6" max="6" width="12.42578125" customWidth="1"/>
    <col min="7" max="7" width="19.28515625" bestFit="1" customWidth="1"/>
    <col min="8" max="8" width="16.28515625" bestFit="1" customWidth="1"/>
    <col min="9" max="9" width="9.42578125" bestFit="1" customWidth="1"/>
    <col min="10" max="10" width="6" bestFit="1" customWidth="1"/>
    <col min="11" max="11" width="25.28515625" bestFit="1" customWidth="1"/>
    <col min="12" max="12" width="10.7109375" bestFit="1" customWidth="1"/>
    <col min="13" max="13" width="21.42578125" bestFit="1" customWidth="1"/>
    <col min="14" max="14" width="9.42578125" bestFit="1" customWidth="1"/>
    <col min="15" max="15" width="15.7109375" bestFit="1" customWidth="1"/>
    <col min="16" max="16" width="24.7109375" bestFit="1" customWidth="1"/>
    <col min="17" max="17" width="7.7109375" bestFit="1" customWidth="1"/>
    <col min="18" max="18" width="18.140625" bestFit="1" customWidth="1"/>
    <col min="19" max="19" width="11.140625" bestFit="1" customWidth="1"/>
    <col min="20" max="20" width="7.42578125" customWidth="1"/>
    <col min="21" max="21" width="17.42578125" bestFit="1" customWidth="1"/>
    <col min="22" max="22" width="22.28515625" bestFit="1" customWidth="1"/>
    <col min="23" max="23" width="19.28515625" bestFit="1" customWidth="1"/>
  </cols>
  <sheetData>
    <row r="1" spans="1:36" x14ac:dyDescent="0.25">
      <c r="A1" s="48" t="s">
        <v>131</v>
      </c>
      <c r="B1" s="48"/>
      <c r="C1" s="50" t="s">
        <v>154</v>
      </c>
      <c r="D1" s="50"/>
      <c r="E1" s="48"/>
      <c r="F1" s="48"/>
      <c r="G1" s="49" t="s">
        <v>24</v>
      </c>
      <c r="H1" s="1" t="s">
        <v>150</v>
      </c>
    </row>
    <row r="2" spans="1:36" x14ac:dyDescent="0.25">
      <c r="A2" s="1" t="s">
        <v>132</v>
      </c>
      <c r="B2" s="2" t="s">
        <v>25</v>
      </c>
      <c r="D2" s="46"/>
      <c r="G2" s="49"/>
      <c r="H2" s="31" t="s">
        <v>151</v>
      </c>
      <c r="I2" s="31" t="s">
        <v>132</v>
      </c>
      <c r="J2" s="31" t="s">
        <v>29</v>
      </c>
      <c r="K2" s="47" t="s">
        <v>141</v>
      </c>
      <c r="L2" s="47" t="s">
        <v>137</v>
      </c>
      <c r="M2" s="31" t="s">
        <v>138</v>
      </c>
      <c r="N2" s="47" t="s">
        <v>139</v>
      </c>
      <c r="O2" s="31" t="s">
        <v>140</v>
      </c>
      <c r="P2" s="47" t="s">
        <v>57</v>
      </c>
      <c r="Q2" s="47" t="s">
        <v>56</v>
      </c>
      <c r="R2" s="47" t="s">
        <v>83</v>
      </c>
      <c r="S2" s="47" t="s">
        <v>87</v>
      </c>
      <c r="T2" s="47" t="s">
        <v>90</v>
      </c>
      <c r="U2" s="47" t="s">
        <v>142</v>
      </c>
      <c r="V2" s="47" t="s">
        <v>123</v>
      </c>
    </row>
    <row r="3" spans="1:36" x14ac:dyDescent="0.25">
      <c r="A3" s="1" t="s">
        <v>29</v>
      </c>
      <c r="B3" s="2" t="s">
        <v>169</v>
      </c>
      <c r="C3" s="1" t="s">
        <v>155</v>
      </c>
      <c r="D3" s="46" t="s">
        <v>158</v>
      </c>
      <c r="G3" s="1" t="s">
        <v>0</v>
      </c>
      <c r="H3" s="46">
        <f t="shared" ref="H3:H26" si="0">PRODUCT(I3:V3)</f>
        <v>0.81</v>
      </c>
      <c r="I3" s="2">
        <f>HLOOKUP($B$2,Alunecări!$B$2:$E$26,Sheet2!B3,0)</f>
        <v>1</v>
      </c>
      <c r="J3" s="2">
        <f>HLOOKUP($B$3,Panta!$B$2:$F$26,Sheet2!B3,0)</f>
        <v>1</v>
      </c>
      <c r="K3" s="2">
        <f>HLOOKUP(MROUND($D$4,0.5),'Temperatura medie anuală'!$B$2:$N$26,Sheet2!B3,TRUE)</f>
        <v>1</v>
      </c>
      <c r="L3" s="2">
        <f>HLOOKUP($D$5,IF($D$4&lt;=8,Precipitații!$B$2:$J$26,IF(AND($D$4&gt;8,$D$4&lt;10),Precipitații!$K$2:$S$26,Precipitații!$T$2:$AB$26)),Sheet2!B3,1)</f>
        <v>0.9</v>
      </c>
      <c r="M3" s="2">
        <f>HLOOKUP($B$6,'Salinizarea&amp;Alcalizarea'!$B$2:$F$26,Sheet2!B3,0)</f>
        <v>1</v>
      </c>
      <c r="N3" s="2">
        <f>HLOOKUP($B$7,IF('Date Inițiale'!$D$7=Sheet2!$E$3,Gleizarea!$B$2:$I$26,Gleizarea!$J$2:$Q$26),Sheet2!B3,0)</f>
        <v>1</v>
      </c>
      <c r="O3" s="2">
        <f>HLOOKUP($B$8,Pseudogleizare!$B$2:$H$26,Sheet2!B3,0)</f>
        <v>1</v>
      </c>
      <c r="P3" s="2">
        <f>HLOOKUP($B$9,IF(OR($B$10=Textura!$B$3,$B$10=Textura!$C$3),'Adâncimea apelor freatice'!$C$2:$J$26,IF(OR($B$10=Textura!$D$3,$B$10=Textura!$F$3),'Adâncimea apelor freatice'!$K$2:$R$26,'Adâncimea apelor freatice'!$S$2:$Z$26)),Sheet2!B3,0)</f>
        <v>1</v>
      </c>
      <c r="Q3" s="2">
        <f>HLOOKUP($B$10,IF(OR($B$12=Porozitatea!$D$3,Porozitatea!$E$3,Porozitatea!$F$3),Textura!$B$3:$L$27,Textura!$M$3:$W$27),Sheet2!B3,0)</f>
        <v>1</v>
      </c>
      <c r="R3" s="2">
        <f>HLOOKUP($B$11,IF($B$5&lt;600,'Volumul edafic util'!$B$3:$G$27,'Volumul edafic util'!$H$3:$M$27),Sheet2!B3,0)</f>
        <v>1</v>
      </c>
      <c r="S3" s="2">
        <f>HLOOKUP($B$12,IF(OR($B$10=Textura!$B$3,$B$10=Textura!C3,$B$10=Textura!D3,$B$10=Textura!$E$3,$B$10=Textura!$I$3,$B$10=Textura!$J$3,$B$10=Textura!$K$3),Porozitatea!$B$3:$F$27,Porozitatea!$G$3:$K$27),Sheet2!B3,0)</f>
        <v>0.9</v>
      </c>
      <c r="T3" s="2">
        <f>HLOOKUP($B$13,IF($D$13=Sheet2!$F$3,pH!$B$3:$J$27,pH!$K$3:$X$27),Sheet2!B3,0)</f>
        <v>1</v>
      </c>
      <c r="U3" s="24">
        <f>HLOOKUP($B$14,IF(OR($B$10=Textura!$D$3,$B$10=Textura!$E$3,$B$10=Textura!$F$3,$B$10=Textura!$G$3,$B$10=Textura!$H$3,$B$10=Textura!$L$3),'Rezerva de humus'!$L$3:$U$27,'Rezerva de humus'!$B$3:$K$27),Sheet2!B3,0)</f>
        <v>1</v>
      </c>
      <c r="V3" s="2">
        <f>HLOOKUP($B$15,'Conținutul de carbonați'!$B$2:$H$26,Sheet2!B3,0)</f>
        <v>1</v>
      </c>
      <c r="W3" s="1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s="23" t="s">
        <v>141</v>
      </c>
      <c r="B4" s="24">
        <v>10.25</v>
      </c>
      <c r="C4" s="1" t="s">
        <v>161</v>
      </c>
      <c r="D4" s="46">
        <f>B4*'Temperatura medie anuală'!P42</f>
        <v>10.25</v>
      </c>
      <c r="G4" s="1" t="s">
        <v>1</v>
      </c>
      <c r="H4" s="46">
        <f t="shared" si="0"/>
        <v>0.64800000000000013</v>
      </c>
      <c r="I4" s="2">
        <f>HLOOKUP($B$2,Alunecări!$B$2:$E$26,Sheet2!B4,0)</f>
        <v>1</v>
      </c>
      <c r="J4" s="2">
        <f>HLOOKUP($B$3,Panta!$B$2:$F$26,Sheet2!B4,0)</f>
        <v>1</v>
      </c>
      <c r="K4" s="2">
        <f>HLOOKUP(MROUND($D$4,0.5),'Temperatura medie anuală'!$B$2:$N$26,Sheet2!B4,TRUE)</f>
        <v>1</v>
      </c>
      <c r="L4" s="2">
        <f>HLOOKUP($D$5,IF($D$4&lt;=8,Precipitații!$B$2:$J$26,IF(AND($D$4&gt;8,$D$4&lt;10),Precipitații!$K$2:$S$26,Precipitații!$T$2:$AB$26)),Sheet2!B4,1)</f>
        <v>0.8</v>
      </c>
      <c r="M4" s="2">
        <f>HLOOKUP($B$6,'Salinizarea&amp;Alcalizarea'!$B$2:$F$26,Sheet2!B4,0)</f>
        <v>1</v>
      </c>
      <c r="N4" s="2">
        <f>HLOOKUP($B$7,IF('Date Inițiale'!$D$7=Sheet2!$E$3,Gleizarea!$B$2:$I$26,Gleizarea!$J$2:$Q$26),Sheet2!B4,0)</f>
        <v>1</v>
      </c>
      <c r="O4" s="2">
        <f>HLOOKUP($B$8,Pseudogleizare!$B$2:$H$26,Sheet2!B4,0)</f>
        <v>1</v>
      </c>
      <c r="P4" s="2">
        <f>HLOOKUP($B$9,IF(OR($B$10=Textura!$B$3,$B$10=Textura!$C$3),'Adâncimea apelor freatice'!$C$2:$J$26,IF(OR($B$10=Textura!$D$3,$B$10=Textura!$F$3),'Adâncimea apelor freatice'!$K$2:$R$26,'Adâncimea apelor freatice'!$S$2:$Z$26)),Sheet2!B4,0)</f>
        <v>0.9</v>
      </c>
      <c r="Q4" s="2">
        <f>HLOOKUP($B$10,IF(OR($B$12=Porozitatea!$D$3,Porozitatea!$E$3,Porozitatea!$F$3),Textura!$B$3:$L$27,Textura!$M$3:$W$27),Sheet2!B4,0)</f>
        <v>1</v>
      </c>
      <c r="R4" s="2">
        <f>HLOOKUP($B$11,IF($B$5&lt;600,'Volumul edafic util'!$B$3:$G$27,'Volumul edafic util'!$H$3:$M$27),Sheet2!B4,0)</f>
        <v>1</v>
      </c>
      <c r="S4" s="2">
        <f>HLOOKUP($B$12,IF(OR($B$10=Textura!$B$3,$B$10=Textura!C4,$B$10=Textura!D4,$B$10=Textura!$E$3,$B$10=Textura!$I$3,$B$10=Textura!$J$3,$B$10=Textura!$K$3),Porozitatea!$B$3:$F$27,Porozitatea!$G$3:$K$27),Sheet2!B4,0)</f>
        <v>0.9</v>
      </c>
      <c r="T4" s="2">
        <f>HLOOKUP($B$13,IF($D$13=Sheet2!$F$3,pH!$B$3:$J$27,pH!$K$3:$X$27),Sheet2!B4,0)</f>
        <v>1</v>
      </c>
      <c r="U4" s="2">
        <f>HLOOKUP($B$14,IF(OR($B$10=Textura!$D$3,$B$10=Textura!$E$3,$B$10=Textura!$F$3,$B$10=Textura!$G$3,$B$10=Textura!$H$3,$B$10=Textura!$L$3),'Rezerva de humus'!$L$3:$U$27,'Rezerva de humus'!$B$3:$K$27),Sheet2!B4,0)</f>
        <v>1</v>
      </c>
      <c r="V4" s="2">
        <f>HLOOKUP($B$15,'Conținutul de carbonați'!$B$2:$H$26,Sheet2!B4,0)</f>
        <v>1</v>
      </c>
      <c r="W4" s="1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x14ac:dyDescent="0.25">
      <c r="A5" s="23" t="s">
        <v>137</v>
      </c>
      <c r="B5" s="24">
        <v>655</v>
      </c>
      <c r="C5" s="1" t="s">
        <v>161</v>
      </c>
      <c r="D5" s="46">
        <f>MROUND(B5,25)</f>
        <v>650</v>
      </c>
      <c r="G5" s="1" t="s">
        <v>2</v>
      </c>
      <c r="H5" s="46">
        <f t="shared" si="0"/>
        <v>0.9</v>
      </c>
      <c r="I5" s="2">
        <f>HLOOKUP($B$2,Alunecări!$B$2:$E$26,Sheet2!B5,0)</f>
        <v>1</v>
      </c>
      <c r="J5" s="2">
        <f>HLOOKUP($B$3,Panta!$B$2:$F$26,Sheet2!B5,0)</f>
        <v>1</v>
      </c>
      <c r="K5" s="2">
        <f>HLOOKUP(MROUND($D$4,0.5),'Temperatura medie anuală'!$B$2:$N$26,Sheet2!B5,TRUE)</f>
        <v>1</v>
      </c>
      <c r="L5" s="2">
        <f>HLOOKUP($D$5,IF($D$4&lt;=8,Precipitații!$B$2:$J$26,IF(AND($D$4&gt;8,$D$4&lt;10),Precipitații!$K$2:$S$26,Precipitații!$T$2:$AB$26)),Sheet2!B5,1)</f>
        <v>1</v>
      </c>
      <c r="M5" s="2">
        <f>HLOOKUP($B$6,'Salinizarea&amp;Alcalizarea'!$B$2:$F$26,Sheet2!B5,0)</f>
        <v>1</v>
      </c>
      <c r="N5" s="2">
        <f>HLOOKUP($B$7,IF('Date Inițiale'!$D$7=Sheet2!$E$3,Gleizarea!$B$2:$I$26,Gleizarea!$J$2:$Q$26),Sheet2!B5,0)</f>
        <v>1</v>
      </c>
      <c r="O5" s="2">
        <f>HLOOKUP($B$8,Pseudogleizare!$B$2:$H$26,Sheet2!B5,0)</f>
        <v>1</v>
      </c>
      <c r="P5" s="2">
        <f>HLOOKUP($B$9,IF(OR($B$10=Textura!$B$3,$B$10=Textura!$C$3),'Adâncimea apelor freatice'!$C$2:$J$26,IF(OR($B$10=Textura!$D$3,$B$10=Textura!$F$3),'Adâncimea apelor freatice'!$K$2:$R$26,'Adâncimea apelor freatice'!$S$2:$Z$26)),Sheet2!B5,0)</f>
        <v>0.9</v>
      </c>
      <c r="Q5" s="2">
        <f>HLOOKUP($B$10,IF(OR($B$12=Porozitatea!$D$3,Porozitatea!$E$3,Porozitatea!$F$3),Textura!$B$3:$L$27,Textura!$M$3:$W$27),Sheet2!B5,0)</f>
        <v>1</v>
      </c>
      <c r="R5" s="2">
        <f>HLOOKUP($B$11,IF($B$5&lt;600,'Volumul edafic util'!$B$3:$G$27,'Volumul edafic util'!$H$3:$M$27),Sheet2!B5,0)</f>
        <v>1</v>
      </c>
      <c r="S5" s="2">
        <f>HLOOKUP($B$12,IF(OR($B$10=Textura!$B$3,$B$10=Textura!C5,$B$10=Textura!D5,$B$10=Textura!$E$3,$B$10=Textura!$I$3,$B$10=Textura!$J$3,$B$10=Textura!$K$3),Porozitatea!$B$3:$F$27,Porozitatea!$G$3:$K$27),Sheet2!B5,0)</f>
        <v>1</v>
      </c>
      <c r="T5" s="2">
        <f>HLOOKUP($B$13,IF($D$13=Sheet2!$F$3,pH!$B$3:$J$27,pH!$K$3:$X$27),Sheet2!B5,0)</f>
        <v>1</v>
      </c>
      <c r="U5" s="2">
        <f>HLOOKUP($B$14,IF(OR($B$10=Textura!$D$3,$B$10=Textura!$E$3,$B$10=Textura!$F$3,$B$10=Textura!$G$3,$B$10=Textura!$H$3,$B$10=Textura!$L$3),'Rezerva de humus'!$L$3:$U$27,'Rezerva de humus'!$B$3:$K$27),Sheet2!B5,0)</f>
        <v>1</v>
      </c>
      <c r="V5" s="2">
        <f>HLOOKUP($B$15,'Conținutul de carbonați'!$B$2:$H$26,Sheet2!B5,0)</f>
        <v>1</v>
      </c>
      <c r="W5" s="1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s="1" t="s">
        <v>138</v>
      </c>
      <c r="B6" s="2" t="s">
        <v>33</v>
      </c>
      <c r="D6" s="46"/>
      <c r="G6" s="1" t="s">
        <v>3</v>
      </c>
      <c r="H6" s="46">
        <f t="shared" si="0"/>
        <v>1</v>
      </c>
      <c r="I6" s="2">
        <f>HLOOKUP($B$2,Alunecări!$B$2:$E$26,Sheet2!B6,0)</f>
        <v>1</v>
      </c>
      <c r="J6" s="2">
        <f>HLOOKUP($B$3,Panta!$B$2:$F$26,Sheet2!B6,0)</f>
        <v>1</v>
      </c>
      <c r="K6" s="2">
        <f>HLOOKUP(MROUND($D$4,0.5),'Temperatura medie anuală'!$B$2:$N$26,Sheet2!B6,TRUE)</f>
        <v>1</v>
      </c>
      <c r="L6" s="2">
        <f>HLOOKUP($D$5,IF($D$4&lt;=8,Precipitații!$B$2:$J$26,IF(AND($D$4&gt;8,$D$4&lt;10),Precipitații!$K$2:$S$26,Precipitații!$T$2:$AB$26)),Sheet2!B6,1)</f>
        <v>1</v>
      </c>
      <c r="M6" s="2">
        <f>HLOOKUP($B$6,'Salinizarea&amp;Alcalizarea'!$B$2:$F$26,Sheet2!B6,0)</f>
        <v>1</v>
      </c>
      <c r="N6" s="2">
        <f>HLOOKUP($B$7,IF('Date Inițiale'!$D$7=Sheet2!$E$3,Gleizarea!$B$2:$I$26,Gleizarea!$J$2:$Q$26),Sheet2!B6,0)</f>
        <v>1</v>
      </c>
      <c r="O6" s="2">
        <f>HLOOKUP($B$8,Pseudogleizare!$B$2:$H$26,Sheet2!B6,0)</f>
        <v>1</v>
      </c>
      <c r="P6" s="2">
        <f>HLOOKUP($B$9,IF(OR($B$10=Textura!$B$3,$B$10=Textura!$C$3),'Adâncimea apelor freatice'!$C$2:$J$26,IF(OR($B$10=Textura!$D$3,$B$10=Textura!$F$3),'Adâncimea apelor freatice'!$K$2:$R$26,'Adâncimea apelor freatice'!$S$2:$Z$26)),Sheet2!B6,0)</f>
        <v>1</v>
      </c>
      <c r="Q6" s="2">
        <f>HLOOKUP($B$10,IF(OR($B$12=Porozitatea!$D$3,Porozitatea!$E$3,Porozitatea!$F$3),Textura!$B$3:$L$27,Textura!$M$3:$W$27),Sheet2!B6,0)</f>
        <v>1</v>
      </c>
      <c r="R6" s="2">
        <f>HLOOKUP($B$11,IF($B$5&lt;600,'Volumul edafic util'!$B$3:$G$27,'Volumul edafic util'!$H$3:$M$27),Sheet2!B6,0)</f>
        <v>1</v>
      </c>
      <c r="S6" s="2">
        <f>HLOOKUP($B$12,IF(OR($B$10=Textura!$B$3,$B$10=Textura!C6,$B$10=Textura!D6,$B$10=Textura!$E$3,$B$10=Textura!$I$3,$B$10=Textura!$J$3,$B$10=Textura!$K$3),Porozitatea!$B$3:$F$27,Porozitatea!$G$3:$K$27),Sheet2!B6,0)</f>
        <v>1</v>
      </c>
      <c r="T6" s="2">
        <f>HLOOKUP($B$13,IF($D$13=Sheet2!$F$3,pH!$B$3:$J$27,pH!$K$3:$X$27),Sheet2!B6,0)</f>
        <v>1</v>
      </c>
      <c r="U6" s="2">
        <f>HLOOKUP($B$14,IF(OR($B$10=Textura!$D$3,$B$10=Textura!$E$3,$B$10=Textura!$F$3,$B$10=Textura!$G$3,$B$10=Textura!$H$3,$B$10=Textura!$L$3),'Rezerva de humus'!$L$3:$U$27,'Rezerva de humus'!$B$3:$K$27),Sheet2!B6,0)</f>
        <v>1</v>
      </c>
      <c r="V6" s="2">
        <f>HLOOKUP($B$15,'Conținutul de carbonați'!$B$2:$H$26,Sheet2!B6,0)</f>
        <v>1</v>
      </c>
      <c r="W6" s="1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s="23" t="s">
        <v>139</v>
      </c>
      <c r="B7" s="24" t="s">
        <v>39</v>
      </c>
      <c r="C7" s="1" t="s">
        <v>170</v>
      </c>
      <c r="D7" s="46" t="s">
        <v>172</v>
      </c>
      <c r="G7" s="1" t="s">
        <v>4</v>
      </c>
      <c r="H7" s="46">
        <f t="shared" si="0"/>
        <v>1</v>
      </c>
      <c r="I7" s="2">
        <f>HLOOKUP($B$2,Alunecări!$B$2:$E$26,Sheet2!B7,0)</f>
        <v>1</v>
      </c>
      <c r="J7" s="2">
        <f>HLOOKUP($B$3,Panta!$B$2:$F$26,Sheet2!B7,0)</f>
        <v>1</v>
      </c>
      <c r="K7" s="2">
        <f>HLOOKUP(MROUND($D$4,0.5),'Temperatura medie anuală'!$B$2:$N$26,Sheet2!B7,TRUE)</f>
        <v>1</v>
      </c>
      <c r="L7" s="2">
        <f>HLOOKUP($D$5,IF($D$4&lt;=8,Precipitații!$B$2:$J$26,IF(AND($D$4&gt;8,$D$4&lt;10),Precipitații!$K$2:$S$26,Precipitații!$T$2:$AB$26)),Sheet2!B7,1)</f>
        <v>1</v>
      </c>
      <c r="M7" s="2">
        <f>HLOOKUP($B$6,'Salinizarea&amp;Alcalizarea'!$B$2:$F$26,Sheet2!B7,0)</f>
        <v>1</v>
      </c>
      <c r="N7" s="2">
        <f>HLOOKUP($B$7,IF('Date Inițiale'!$D$7=Sheet2!$E$3,Gleizarea!$B$2:$I$26,Gleizarea!$J$2:$Q$26),Sheet2!B7,0)</f>
        <v>1</v>
      </c>
      <c r="O7" s="2">
        <f>HLOOKUP($B$8,Pseudogleizare!$B$2:$H$26,Sheet2!B7,0)</f>
        <v>1</v>
      </c>
      <c r="P7" s="2">
        <f>HLOOKUP($B$9,IF(OR($B$10=Textura!$B$3,$B$10=Textura!$C$3),'Adâncimea apelor freatice'!$C$2:$J$26,IF(OR($B$10=Textura!$D$3,$B$10=Textura!$F$3),'Adâncimea apelor freatice'!$K$2:$R$26,'Adâncimea apelor freatice'!$S$2:$Z$26)),Sheet2!B7,0)</f>
        <v>1</v>
      </c>
      <c r="Q7" s="2">
        <f>HLOOKUP($B$10,IF(OR($B$12=Porozitatea!$D$3,Porozitatea!$E$3,Porozitatea!$F$3),Textura!$B$3:$L$27,Textura!$M$3:$W$27),Sheet2!B7,0)</f>
        <v>1</v>
      </c>
      <c r="R7" s="2">
        <f>HLOOKUP($B$11,IF($B$5&lt;600,'Volumul edafic util'!$B$3:$G$27,'Volumul edafic util'!$H$3:$M$27),Sheet2!B7,0)</f>
        <v>1</v>
      </c>
      <c r="S7" s="2">
        <f>HLOOKUP($B$12,IF(OR($B$10=Textura!$B$3,$B$10=Textura!C7,$B$10=Textura!D7,$B$10=Textura!$E$3,$B$10=Textura!$I$3,$B$10=Textura!$J$3,$B$10=Textura!$K$3),Porozitatea!$B$3:$F$27,Porozitatea!$G$3:$K$27),Sheet2!B7,0)</f>
        <v>1</v>
      </c>
      <c r="T7" s="2">
        <f>HLOOKUP($B$13,IF($D$13=Sheet2!$F$3,pH!$B$3:$J$27,pH!$K$3:$X$27),Sheet2!B7,0)</f>
        <v>1</v>
      </c>
      <c r="U7" s="2">
        <f>HLOOKUP($B$14,IF(OR($B$10=Textura!$D$3,$B$10=Textura!$E$3,$B$10=Textura!$F$3,$B$10=Textura!$G$3,$B$10=Textura!$H$3,$B$10=Textura!$L$3),'Rezerva de humus'!$L$3:$U$27,'Rezerva de humus'!$B$3:$K$27),Sheet2!B7,0)</f>
        <v>1</v>
      </c>
      <c r="V7" s="2">
        <f>HLOOKUP($B$15,'Conținutul de carbonați'!$B$2:$H$26,Sheet2!B7,0)</f>
        <v>1</v>
      </c>
      <c r="W7" s="1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x14ac:dyDescent="0.25">
      <c r="A8" s="23" t="s">
        <v>140</v>
      </c>
      <c r="B8" s="24" t="s">
        <v>48</v>
      </c>
      <c r="D8" s="46"/>
      <c r="G8" s="1" t="s">
        <v>5</v>
      </c>
      <c r="H8" s="46">
        <f t="shared" si="0"/>
        <v>1</v>
      </c>
      <c r="I8" s="2">
        <f>HLOOKUP($B$2,Alunecări!$B$2:$E$26,Sheet2!B8,0)</f>
        <v>1</v>
      </c>
      <c r="J8" s="2">
        <f>HLOOKUP($B$3,Panta!$B$2:$F$26,Sheet2!B8,0)</f>
        <v>1</v>
      </c>
      <c r="K8" s="2">
        <f>HLOOKUP(MROUND($D$4,0.5),'Temperatura medie anuală'!$B$2:$N$26,Sheet2!B8,TRUE)</f>
        <v>1</v>
      </c>
      <c r="L8" s="2">
        <f>HLOOKUP($D$5,IF($D$4&lt;=8,Precipitații!$B$2:$J$26,IF(AND($D$4&gt;8,$D$4&lt;10),Precipitații!$K$2:$S$26,Precipitații!$T$2:$AB$26)),Sheet2!B8,1)</f>
        <v>1</v>
      </c>
      <c r="M8" s="2">
        <f>HLOOKUP($B$6,'Salinizarea&amp;Alcalizarea'!$B$2:$F$26,Sheet2!B8,0)</f>
        <v>1</v>
      </c>
      <c r="N8" s="2">
        <f>HLOOKUP($B$7,IF('Date Inițiale'!$D$7=Sheet2!$E$3,Gleizarea!$B$2:$I$26,Gleizarea!$J$2:$Q$26),Sheet2!B8,0)</f>
        <v>1</v>
      </c>
      <c r="O8" s="2">
        <f>HLOOKUP($B$8,Pseudogleizare!$B$2:$H$26,Sheet2!B8,0)</f>
        <v>1</v>
      </c>
      <c r="P8" s="2">
        <f>HLOOKUP($B$9,IF(OR($B$10=Textura!$B$3,$B$10=Textura!$C$3),'Adâncimea apelor freatice'!$C$2:$J$26,IF(OR($B$10=Textura!$D$3,$B$10=Textura!$F$3),'Adâncimea apelor freatice'!$K$2:$R$26,'Adâncimea apelor freatice'!$S$2:$Z$26)),Sheet2!B8,0)</f>
        <v>1</v>
      </c>
      <c r="Q8" s="2">
        <f>HLOOKUP($B$10,IF(OR($B$12=Porozitatea!$D$3,Porozitatea!$E$3,Porozitatea!$F$3),Textura!$B$3:$L$27,Textura!$M$3:$W$27),Sheet2!B8,0)</f>
        <v>1</v>
      </c>
      <c r="R8" s="2">
        <f>HLOOKUP($B$11,IF($B$5&lt;600,'Volumul edafic util'!$B$3:$G$27,'Volumul edafic util'!$H$3:$M$27),Sheet2!B8,0)</f>
        <v>1</v>
      </c>
      <c r="S8" s="2">
        <f>HLOOKUP($B$12,IF(OR($B$10=Textura!$B$3,$B$10=Textura!C8,$B$10=Textura!D8,$B$10=Textura!$E$3,$B$10=Textura!$I$3,$B$10=Textura!$J$3,$B$10=Textura!$K$3),Porozitatea!$B$3:$F$27,Porozitatea!$G$3:$K$27),Sheet2!B8,0)</f>
        <v>1</v>
      </c>
      <c r="T8" s="2">
        <f>HLOOKUP($B$13,IF($D$13=Sheet2!$F$3,pH!$B$3:$J$27,pH!$K$3:$X$27),Sheet2!B8,0)</f>
        <v>1</v>
      </c>
      <c r="U8" s="2">
        <f>HLOOKUP($B$14,IF(OR($B$10=Textura!$D$3,$B$10=Textura!$E$3,$B$10=Textura!$F$3,$B$10=Textura!$G$3,$B$10=Textura!$H$3,$B$10=Textura!$L$3),'Rezerva de humus'!$L$3:$U$27,'Rezerva de humus'!$B$3:$K$27),Sheet2!B8,0)</f>
        <v>1</v>
      </c>
      <c r="V8" s="2">
        <f>HLOOKUP($B$15,'Conținutul de carbonați'!$B$2:$H$26,Sheet2!B8,0)</f>
        <v>1</v>
      </c>
      <c r="W8" s="1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x14ac:dyDescent="0.25">
      <c r="A9" s="23" t="s">
        <v>57</v>
      </c>
      <c r="B9" s="24" t="s">
        <v>63</v>
      </c>
      <c r="D9" s="46"/>
      <c r="G9" s="1" t="s">
        <v>6</v>
      </c>
      <c r="H9" s="46">
        <f t="shared" si="0"/>
        <v>1</v>
      </c>
      <c r="I9" s="2">
        <f>HLOOKUP($B$2,Alunecări!$B$2:$E$26,Sheet2!B9,0)</f>
        <v>1</v>
      </c>
      <c r="J9" s="2">
        <f>HLOOKUP($B$3,Panta!$B$2:$F$26,Sheet2!B9,0)</f>
        <v>1</v>
      </c>
      <c r="K9" s="2">
        <f>HLOOKUP(MROUND($D$4,0.5),'Temperatura medie anuală'!$B$2:$N$26,Sheet2!B9,TRUE)</f>
        <v>1</v>
      </c>
      <c r="L9" s="2">
        <f>HLOOKUP($D$5,IF($D$4&lt;=8,Precipitații!$B$2:$J$26,IF(AND($D$4&gt;8,$D$4&lt;10),Precipitații!$K$2:$S$26,Precipitații!$T$2:$AB$26)),Sheet2!B9,1)</f>
        <v>1</v>
      </c>
      <c r="M9" s="2">
        <f>HLOOKUP($B$6,'Salinizarea&amp;Alcalizarea'!$B$2:$F$26,Sheet2!B9,0)</f>
        <v>1</v>
      </c>
      <c r="N9" s="2">
        <f>HLOOKUP($B$7,IF('Date Inițiale'!$D$7=Sheet2!$E$3,Gleizarea!$B$2:$I$26,Gleizarea!$J$2:$Q$26),Sheet2!B9,0)</f>
        <v>1</v>
      </c>
      <c r="O9" s="2">
        <f>HLOOKUP($B$8,Pseudogleizare!$B$2:$H$26,Sheet2!B9,0)</f>
        <v>1</v>
      </c>
      <c r="P9" s="2">
        <f>HLOOKUP($B$9,IF(OR($B$10=Textura!$B$3,$B$10=Textura!$C$3),'Adâncimea apelor freatice'!$C$2:$J$26,IF(OR($B$10=Textura!$D$3,$B$10=Textura!$F$3),'Adâncimea apelor freatice'!$K$2:$R$26,'Adâncimea apelor freatice'!$S$2:$Z$26)),Sheet2!B9,0)</f>
        <v>1</v>
      </c>
      <c r="Q9" s="2">
        <f>HLOOKUP($B$10,IF(OR($B$12=Porozitatea!$D$3,Porozitatea!$E$3,Porozitatea!$F$3),Textura!$B$3:$L$27,Textura!$M$3:$W$27),Sheet2!B9,0)</f>
        <v>1</v>
      </c>
      <c r="R9" s="2">
        <f>HLOOKUP($B$11,IF($B$5&lt;600,'Volumul edafic util'!$B$3:$G$27,'Volumul edafic util'!$H$3:$M$27),Sheet2!B9,0)</f>
        <v>1</v>
      </c>
      <c r="S9" s="2">
        <f>HLOOKUP($B$12,IF(OR($B$10=Textura!$B$3,$B$10=Textura!C9,$B$10=Textura!D9,$B$10=Textura!$E$3,$B$10=Textura!$I$3,$B$10=Textura!$J$3,$B$10=Textura!$K$3),Porozitatea!$B$3:$F$27,Porozitatea!$G$3:$K$27),Sheet2!B9,0)</f>
        <v>1</v>
      </c>
      <c r="T9" s="2">
        <f>HLOOKUP($B$13,IF($D$13=Sheet2!$F$3,pH!$B$3:$J$27,pH!$K$3:$X$27),Sheet2!B9,0)</f>
        <v>1</v>
      </c>
      <c r="U9" s="2">
        <f>HLOOKUP($B$14,IF(OR($B$10=Textura!$D$3,$B$10=Textura!$E$3,$B$10=Textura!$F$3,$B$10=Textura!$G$3,$B$10=Textura!$H$3,$B$10=Textura!$L$3),'Rezerva de humus'!$L$3:$U$27,'Rezerva de humus'!$B$3:$K$27),Sheet2!B9,0)</f>
        <v>1</v>
      </c>
      <c r="V9" s="2">
        <f>HLOOKUP($B$15,'Conținutul de carbonați'!$B$2:$H$26,Sheet2!B9,0)</f>
        <v>1</v>
      </c>
      <c r="W9" s="1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x14ac:dyDescent="0.25">
      <c r="A10" s="23" t="s">
        <v>56</v>
      </c>
      <c r="B10" s="24" t="s">
        <v>72</v>
      </c>
      <c r="D10" s="46"/>
      <c r="G10" s="1" t="s">
        <v>7</v>
      </c>
      <c r="H10" s="46">
        <f t="shared" si="0"/>
        <v>1</v>
      </c>
      <c r="I10" s="2">
        <f>HLOOKUP($B$2,Alunecări!$B$2:$E$26,Sheet2!B10,0)</f>
        <v>1</v>
      </c>
      <c r="J10" s="2">
        <f>HLOOKUP($B$3,Panta!$B$2:$F$26,Sheet2!B10,0)</f>
        <v>1</v>
      </c>
      <c r="K10" s="2">
        <f>HLOOKUP(MROUND($D$4,0.5),'Temperatura medie anuală'!$B$2:$N$26,Sheet2!B10,TRUE)</f>
        <v>1</v>
      </c>
      <c r="L10" s="2">
        <f>HLOOKUP($D$5,IF($D$4&lt;=8,Precipitații!$B$2:$J$26,IF(AND($D$4&gt;8,$D$4&lt;10),Precipitații!$K$2:$S$26,Precipitații!$T$2:$AB$26)),Sheet2!B10,1)</f>
        <v>1</v>
      </c>
      <c r="M10" s="2">
        <f>HLOOKUP($B$6,'Salinizarea&amp;Alcalizarea'!$B$2:$F$26,Sheet2!B10,0)</f>
        <v>1</v>
      </c>
      <c r="N10" s="2">
        <f>HLOOKUP($B$7,IF('Date Inițiale'!$D$7=Sheet2!$E$3,Gleizarea!$B$2:$I$26,Gleizarea!$J$2:$Q$26),Sheet2!B10,0)</f>
        <v>1</v>
      </c>
      <c r="O10" s="2">
        <f>HLOOKUP($B$8,Pseudogleizare!$B$2:$H$26,Sheet2!B10,0)</f>
        <v>1</v>
      </c>
      <c r="P10" s="2">
        <f>HLOOKUP($B$9,IF(OR($B$10=Textura!$B$3,$B$10=Textura!$C$3),'Adâncimea apelor freatice'!$C$2:$J$26,IF(OR($B$10=Textura!$D$3,$B$10=Textura!$F$3),'Adâncimea apelor freatice'!$K$2:$R$26,'Adâncimea apelor freatice'!$S$2:$Z$26)),Sheet2!B10,0)</f>
        <v>1</v>
      </c>
      <c r="Q10" s="2">
        <f>HLOOKUP($B$10,IF(OR($B$12=Porozitatea!$D$3,Porozitatea!$E$3,Porozitatea!$F$3),Textura!$B$3:$L$27,Textura!$M$3:$W$27),Sheet2!B10,0)</f>
        <v>1</v>
      </c>
      <c r="R10" s="2">
        <f>HLOOKUP($B$11,IF($B$5&lt;600,'Volumul edafic util'!$B$3:$G$27,'Volumul edafic util'!$H$3:$M$27),Sheet2!B10,0)</f>
        <v>1</v>
      </c>
      <c r="S10" s="2">
        <f>HLOOKUP($B$12,IF(OR($B$10=Textura!$B$3,$B$10=Textura!C10,$B$10=Textura!D10,$B$10=Textura!$E$3,$B$10=Textura!$I$3,$B$10=Textura!$J$3,$B$10=Textura!$K$3),Porozitatea!$B$3:$F$27,Porozitatea!$G$3:$K$27),Sheet2!B10,0)</f>
        <v>1</v>
      </c>
      <c r="T10" s="2">
        <f>HLOOKUP($B$13,IF($D$13=Sheet2!$F$3,pH!$B$3:$J$27,pH!$K$3:$X$27),Sheet2!B10,0)</f>
        <v>1</v>
      </c>
      <c r="U10" s="2">
        <f>HLOOKUP($B$14,IF(OR($B$10=Textura!$D$3,$B$10=Textura!$E$3,$B$10=Textura!$F$3,$B$10=Textura!$G$3,$B$10=Textura!$H$3,$B$10=Textura!$L$3),'Rezerva de humus'!$L$3:$U$27,'Rezerva de humus'!$B$3:$K$27),Sheet2!B10,0)</f>
        <v>1</v>
      </c>
      <c r="V10" s="2">
        <f>HLOOKUP($B$15,'Conținutul de carbonați'!$B$2:$H$26,Sheet2!B10,0)</f>
        <v>1</v>
      </c>
      <c r="W10" s="1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x14ac:dyDescent="0.25">
      <c r="A11" s="23" t="s">
        <v>83</v>
      </c>
      <c r="B11" s="24" t="s">
        <v>180</v>
      </c>
      <c r="D11" s="46"/>
      <c r="G11" s="1" t="s">
        <v>8</v>
      </c>
      <c r="H11" s="46">
        <f t="shared" si="0"/>
        <v>1</v>
      </c>
      <c r="I11" s="2">
        <f>HLOOKUP($B$2,Alunecări!$B$2:$E$26,Sheet2!B11,0)</f>
        <v>1</v>
      </c>
      <c r="J11" s="2">
        <f>HLOOKUP($B$3,Panta!$B$2:$F$26,Sheet2!B11,0)</f>
        <v>1</v>
      </c>
      <c r="K11" s="2">
        <f>HLOOKUP(MROUND($D$4,0.5),'Temperatura medie anuală'!$B$2:$N$26,Sheet2!B11,TRUE)</f>
        <v>1</v>
      </c>
      <c r="L11" s="2">
        <f>HLOOKUP($D$5,IF($D$4&lt;=8,Precipitații!$B$2:$J$26,IF(AND($D$4&gt;8,$D$4&lt;10),Precipitații!$K$2:$S$26,Precipitații!$T$2:$AB$26)),Sheet2!B11,1)</f>
        <v>1</v>
      </c>
      <c r="M11" s="2">
        <f>HLOOKUP($B$6,'Salinizarea&amp;Alcalizarea'!$B$2:$F$26,Sheet2!B11,0)</f>
        <v>1</v>
      </c>
      <c r="N11" s="2">
        <f>HLOOKUP($B$7,IF('Date Inițiale'!$D$7=Sheet2!$E$3,Gleizarea!$B$2:$I$26,Gleizarea!$J$2:$Q$26),Sheet2!B11,0)</f>
        <v>1</v>
      </c>
      <c r="O11" s="2">
        <f>HLOOKUP($B$8,Pseudogleizare!$B$2:$H$26,Sheet2!B11,0)</f>
        <v>1</v>
      </c>
      <c r="P11" s="2">
        <f>HLOOKUP($B$9,IF(OR($B$10=Textura!$B$3,$B$10=Textura!$C$3),'Adâncimea apelor freatice'!$C$2:$J$26,IF(OR($B$10=Textura!$D$3,$B$10=Textura!$F$3),'Adâncimea apelor freatice'!$K$2:$R$26,'Adâncimea apelor freatice'!$S$2:$Z$26)),Sheet2!B11,0)</f>
        <v>1</v>
      </c>
      <c r="Q11" s="2">
        <f>HLOOKUP($B$10,IF(OR($B$12=Porozitatea!$D$3,Porozitatea!$E$3,Porozitatea!$F$3),Textura!$B$3:$L$27,Textura!$M$3:$W$27),Sheet2!B11,0)</f>
        <v>1</v>
      </c>
      <c r="R11" s="2">
        <f>HLOOKUP($B$11,IF($B$5&lt;600,'Volumul edafic util'!$B$3:$G$27,'Volumul edafic util'!$H$3:$M$27),Sheet2!B11,0)</f>
        <v>1</v>
      </c>
      <c r="S11" s="2">
        <f>HLOOKUP($B$12,IF(OR($B$10=Textura!$B$3,$B$10=Textura!C11,$B$10=Textura!D11,$B$10=Textura!$E$3,$B$10=Textura!$I$3,$B$10=Textura!$J$3,$B$10=Textura!$K$3),Porozitatea!$B$3:$F$27,Porozitatea!$G$3:$K$27),Sheet2!B11,0)</f>
        <v>1</v>
      </c>
      <c r="T11" s="2">
        <f>HLOOKUP($B$13,IF($D$13=Sheet2!$F$3,pH!$B$3:$J$27,pH!$K$3:$X$27),Sheet2!B11,0)</f>
        <v>1</v>
      </c>
      <c r="U11" s="2">
        <f>HLOOKUP($B$14,IF(OR($B$10=Textura!$D$3,$B$10=Textura!$E$3,$B$10=Textura!$F$3,$B$10=Textura!$G$3,$B$10=Textura!$H$3,$B$10=Textura!$L$3),'Rezerva de humus'!$L$3:$U$27,'Rezerva de humus'!$B$3:$K$27),Sheet2!B11,0)</f>
        <v>1</v>
      </c>
      <c r="V11" s="2">
        <f>HLOOKUP($B$15,'Conținutul de carbonați'!$B$2:$H$26,Sheet2!B11,0)</f>
        <v>1</v>
      </c>
      <c r="W11" s="1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x14ac:dyDescent="0.25">
      <c r="A12" s="23" t="s">
        <v>87</v>
      </c>
      <c r="B12" s="24" t="s">
        <v>174</v>
      </c>
      <c r="D12" s="46"/>
      <c r="G12" s="1" t="s">
        <v>9</v>
      </c>
      <c r="H12" s="46">
        <f t="shared" si="0"/>
        <v>1</v>
      </c>
      <c r="I12" s="2">
        <f>HLOOKUP($B$2,Alunecări!$B$2:$E$26,Sheet2!B12,0)</f>
        <v>1</v>
      </c>
      <c r="J12" s="2">
        <f>HLOOKUP($B$3,Panta!$B$2:$F$26,Sheet2!B12,0)</f>
        <v>1</v>
      </c>
      <c r="K12" s="2">
        <f>HLOOKUP(MROUND($D$4,0.5),'Temperatura medie anuală'!$B$2:$N$26,Sheet2!B12,TRUE)</f>
        <v>1</v>
      </c>
      <c r="L12" s="2">
        <f>HLOOKUP($D$5,IF($D$4&lt;=8,Precipitații!$B$2:$J$26,IF(AND($D$4&gt;8,$D$4&lt;10),Precipitații!$K$2:$S$26,Precipitații!$T$2:$AB$26)),Sheet2!B12,1)</f>
        <v>1</v>
      </c>
      <c r="M12" s="2">
        <f>HLOOKUP($B$6,'Salinizarea&amp;Alcalizarea'!$B$2:$F$26,Sheet2!B12,0)</f>
        <v>1</v>
      </c>
      <c r="N12" s="2">
        <f>HLOOKUP($B$7,IF('Date Inițiale'!$D$7=Sheet2!$E$3,Gleizarea!$B$2:$I$26,Gleizarea!$J$2:$Q$26),Sheet2!B12,0)</f>
        <v>1</v>
      </c>
      <c r="O12" s="2">
        <f>HLOOKUP($B$8,Pseudogleizare!$B$2:$H$26,Sheet2!B12,0)</f>
        <v>1</v>
      </c>
      <c r="P12" s="2">
        <f>HLOOKUP($B$9,IF(OR($B$10=Textura!$B$3,$B$10=Textura!$C$3),'Adâncimea apelor freatice'!$C$2:$J$26,IF(OR($B$10=Textura!$D$3,$B$10=Textura!$F$3),'Adâncimea apelor freatice'!$K$2:$R$26,'Adâncimea apelor freatice'!$S$2:$Z$26)),Sheet2!B12,0)</f>
        <v>1</v>
      </c>
      <c r="Q12" s="2">
        <f>HLOOKUP($B$10,IF(OR($B$12=Porozitatea!$D$3,Porozitatea!$E$3,Porozitatea!$F$3),Textura!$B$3:$L$27,Textura!$M$3:$W$27),Sheet2!B12,0)</f>
        <v>1</v>
      </c>
      <c r="R12" s="2">
        <f>HLOOKUP($B$11,IF($B$5&lt;600,'Volumul edafic util'!$B$3:$G$27,'Volumul edafic util'!$H$3:$M$27),Sheet2!B12,0)</f>
        <v>1</v>
      </c>
      <c r="S12" s="2">
        <f>HLOOKUP($B$12,IF(OR($B$10=Textura!$B$3,$B$10=Textura!C12,$B$10=Textura!D12,$B$10=Textura!$E$3,$B$10=Textura!$I$3,$B$10=Textura!$J$3,$B$10=Textura!$K$3),Porozitatea!$B$3:$F$27,Porozitatea!$G$3:$K$27),Sheet2!B12,0)</f>
        <v>1</v>
      </c>
      <c r="T12" s="2">
        <f>HLOOKUP($B$13,IF($D$13=Sheet2!$F$3,pH!$B$3:$J$27,pH!$K$3:$X$27),Sheet2!B12,0)</f>
        <v>1</v>
      </c>
      <c r="U12" s="2">
        <f>HLOOKUP($B$14,IF(OR($B$10=Textura!$D$3,$B$10=Textura!$E$3,$B$10=Textura!$F$3,$B$10=Textura!$G$3,$B$10=Textura!$H$3,$B$10=Textura!$L$3),'Rezerva de humus'!$L$3:$U$27,'Rezerva de humus'!$B$3:$K$27),Sheet2!B12,0)</f>
        <v>1</v>
      </c>
      <c r="V12" s="2">
        <f>HLOOKUP($B$15,'Conținutul de carbonați'!$B$2:$H$26,Sheet2!B12,0)</f>
        <v>1</v>
      </c>
      <c r="W12" s="1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x14ac:dyDescent="0.25">
      <c r="A13" s="23" t="s">
        <v>90</v>
      </c>
      <c r="B13" s="24" t="s">
        <v>178</v>
      </c>
      <c r="C13" s="1" t="s">
        <v>177</v>
      </c>
      <c r="D13" s="46" t="s">
        <v>108</v>
      </c>
      <c r="G13" s="1" t="s">
        <v>10</v>
      </c>
      <c r="H13" s="46">
        <f t="shared" si="0"/>
        <v>0.8</v>
      </c>
      <c r="I13" s="2">
        <f>HLOOKUP($B$2,Alunecări!$B$2:$E$26,Sheet2!B13,0)</f>
        <v>1</v>
      </c>
      <c r="J13" s="2">
        <f>HLOOKUP($B$3,Panta!$B$2:$F$26,Sheet2!B13,0)</f>
        <v>1</v>
      </c>
      <c r="K13" s="2">
        <f>HLOOKUP(MROUND($D$4,0.5),'Temperatura medie anuală'!$B$2:$N$26,Sheet2!B13,TRUE)</f>
        <v>1</v>
      </c>
      <c r="L13" s="2">
        <f>HLOOKUP($D$5,IF($D$4&lt;=8,Precipitații!$B$2:$J$26,IF(AND($D$4&gt;8,$D$4&lt;10),Precipitații!$K$2:$S$26,Precipitații!$T$2:$AB$26)),Sheet2!B13,1)</f>
        <v>1</v>
      </c>
      <c r="M13" s="2">
        <f>HLOOKUP($B$6,'Salinizarea&amp;Alcalizarea'!$B$2:$F$26,Sheet2!B13,0)</f>
        <v>1</v>
      </c>
      <c r="N13" s="2">
        <f>HLOOKUP($B$7,IF('Date Inițiale'!$D$7=Sheet2!$E$3,Gleizarea!$B$2:$I$26,Gleizarea!$J$2:$Q$26),Sheet2!B13,0)</f>
        <v>1</v>
      </c>
      <c r="O13" s="2">
        <f>HLOOKUP($B$8,Pseudogleizare!$B$2:$H$26,Sheet2!B13,0)</f>
        <v>1</v>
      </c>
      <c r="P13" s="2">
        <f>HLOOKUP($B$9,IF(OR($B$10=Textura!$B$3,$B$10=Textura!$C$3),'Adâncimea apelor freatice'!$C$2:$J$26,IF(OR($B$10=Textura!$D$3,$B$10=Textura!$F$3),'Adâncimea apelor freatice'!$K$2:$R$26,'Adâncimea apelor freatice'!$S$2:$Z$26)),Sheet2!B13,0)</f>
        <v>1</v>
      </c>
      <c r="Q13" s="2">
        <f>HLOOKUP($B$10,IF(OR($B$12=Porozitatea!$D$3,Porozitatea!$E$3,Porozitatea!$F$3),Textura!$B$3:$L$27,Textura!$M$3:$W$27),Sheet2!B13,0)</f>
        <v>1</v>
      </c>
      <c r="R13" s="2">
        <f>HLOOKUP($B$11,IF($B$5&lt;600,'Volumul edafic util'!$B$3:$G$27,'Volumul edafic util'!$H$3:$M$27),Sheet2!B13,0)</f>
        <v>1</v>
      </c>
      <c r="S13" s="2">
        <f>HLOOKUP($B$12,IF(OR($B$10=Textura!$B$3,$B$10=Textura!C13,$B$10=Textura!D13,$B$10=Textura!$E$3,$B$10=Textura!$I$3,$B$10=Textura!$J$3,$B$10=Textura!$K$3),Porozitatea!$B$3:$F$27,Porozitatea!$G$3:$K$27),Sheet2!B13,0)</f>
        <v>0.8</v>
      </c>
      <c r="T13" s="2">
        <f>HLOOKUP($B$13,IF($D$13=Sheet2!$F$3,pH!$B$3:$J$27,pH!$K$3:$X$27),Sheet2!B13,0)</f>
        <v>1</v>
      </c>
      <c r="U13" s="2">
        <f>HLOOKUP($B$14,IF(OR($B$10=Textura!$D$3,$B$10=Textura!$E$3,$B$10=Textura!$F$3,$B$10=Textura!$G$3,$B$10=Textura!$H$3,$B$10=Textura!$L$3),'Rezerva de humus'!$L$3:$U$27,'Rezerva de humus'!$B$3:$K$27),Sheet2!B13,0)</f>
        <v>1</v>
      </c>
      <c r="V13" s="2">
        <f>HLOOKUP($B$15,'Conținutul de carbonați'!$B$2:$H$26,Sheet2!B13,0)</f>
        <v>1</v>
      </c>
      <c r="W13" s="1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x14ac:dyDescent="0.25">
      <c r="A14" s="23" t="s">
        <v>142</v>
      </c>
      <c r="B14" s="24" t="s">
        <v>152</v>
      </c>
      <c r="D14" s="2"/>
      <c r="G14" s="1" t="s">
        <v>11</v>
      </c>
      <c r="H14" s="46">
        <f t="shared" si="0"/>
        <v>0.9</v>
      </c>
      <c r="I14" s="2">
        <f>HLOOKUP($B$2,Alunecări!$B$2:$E$26,Sheet2!B14,0)</f>
        <v>1</v>
      </c>
      <c r="J14" s="2">
        <f>HLOOKUP($B$3,Panta!$B$2:$F$26,Sheet2!B14,0)</f>
        <v>1</v>
      </c>
      <c r="K14" s="2">
        <f>HLOOKUP(MROUND($D$4,0.5),'Temperatura medie anuală'!$B$2:$N$26,Sheet2!B14,TRUE)</f>
        <v>1</v>
      </c>
      <c r="L14" s="2">
        <f>HLOOKUP($D$5,IF($D$4&lt;=8,Precipitații!$B$2:$J$26,IF(AND($D$4&gt;8,$D$4&lt;10),Precipitații!$K$2:$S$26,Precipitații!$T$2:$AB$26)),Sheet2!B14,1)</f>
        <v>1</v>
      </c>
      <c r="M14" s="2">
        <f>HLOOKUP($B$6,'Salinizarea&amp;Alcalizarea'!$B$2:$F$26,Sheet2!B14,0)</f>
        <v>1</v>
      </c>
      <c r="N14" s="2">
        <f>HLOOKUP($B$7,IF('Date Inițiale'!$D$7=Sheet2!$E$3,Gleizarea!$B$2:$I$26,Gleizarea!$J$2:$Q$26),Sheet2!B14,0)</f>
        <v>1</v>
      </c>
      <c r="O14" s="2">
        <f>HLOOKUP($B$8,Pseudogleizare!$B$2:$H$26,Sheet2!B14,0)</f>
        <v>1</v>
      </c>
      <c r="P14" s="2">
        <f>HLOOKUP($B$9,IF(OR($B$10=Textura!$B$3,$B$10=Textura!$C$3),'Adâncimea apelor freatice'!$C$2:$J$26,IF(OR($B$10=Textura!$D$3,$B$10=Textura!$F$3),'Adâncimea apelor freatice'!$K$2:$R$26,'Adâncimea apelor freatice'!$S$2:$Z$26)),Sheet2!B14,0)</f>
        <v>1</v>
      </c>
      <c r="Q14" s="2">
        <f>HLOOKUP($B$10,IF(OR($B$12=Porozitatea!$D$3,Porozitatea!$E$3,Porozitatea!$F$3),Textura!$B$3:$L$27,Textura!$M$3:$W$27),Sheet2!B14,0)</f>
        <v>1</v>
      </c>
      <c r="R14" s="2">
        <f>HLOOKUP($B$11,IF($B$5&lt;600,'Volumul edafic util'!$B$3:$G$27,'Volumul edafic util'!$H$3:$M$27),Sheet2!B14,0)</f>
        <v>1</v>
      </c>
      <c r="S14" s="2">
        <f>HLOOKUP($B$12,IF(OR($B$10=Textura!$B$3,$B$10=Textura!C14,$B$10=Textura!D14,$B$10=Textura!$E$3,$B$10=Textura!$I$3,$B$10=Textura!$J$3,$B$10=Textura!$K$3),Porozitatea!$B$3:$F$27,Porozitatea!$G$3:$K$27),Sheet2!B14,0)</f>
        <v>0.9</v>
      </c>
      <c r="T14" s="2">
        <f>HLOOKUP($B$13,IF($D$13=Sheet2!$F$3,pH!$B$3:$J$27,pH!$K$3:$X$27),Sheet2!B14,0)</f>
        <v>1</v>
      </c>
      <c r="U14" s="2">
        <f>HLOOKUP($B$14,IF(OR($B$10=Textura!$D$3,$B$10=Textura!$E$3,$B$10=Textura!$F$3,$B$10=Textura!$G$3,$B$10=Textura!$H$3,$B$10=Textura!$L$3),'Rezerva de humus'!$L$3:$U$27,'Rezerva de humus'!$B$3:$K$27),Sheet2!B14,0)</f>
        <v>1</v>
      </c>
      <c r="V14" s="2">
        <f>HLOOKUP($B$15,'Conținutul de carbonați'!$B$2:$H$26,Sheet2!B14,0)</f>
        <v>1</v>
      </c>
      <c r="W14" s="1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x14ac:dyDescent="0.25">
      <c r="A15" s="23" t="s">
        <v>123</v>
      </c>
      <c r="B15" s="24" t="s">
        <v>153</v>
      </c>
      <c r="D15" s="2"/>
      <c r="G15" s="1" t="s">
        <v>12</v>
      </c>
      <c r="H15" s="46">
        <f t="shared" si="0"/>
        <v>0.9</v>
      </c>
      <c r="I15" s="2">
        <f>HLOOKUP($B$2,Alunecări!$B$2:$E$26,Sheet2!B15,0)</f>
        <v>1</v>
      </c>
      <c r="J15" s="2">
        <f>HLOOKUP($B$3,Panta!$B$2:$F$26,Sheet2!B15,0)</f>
        <v>1</v>
      </c>
      <c r="K15" s="2">
        <f>HLOOKUP(MROUND($D$4,0.5),'Temperatura medie anuală'!$B$2:$N$26,Sheet2!B15,TRUE)</f>
        <v>1</v>
      </c>
      <c r="L15" s="2">
        <f>HLOOKUP($D$5,IF($D$4&lt;=8,Precipitații!$B$2:$J$26,IF(AND($D$4&gt;8,$D$4&lt;10),Precipitații!$K$2:$S$26,Precipitații!$T$2:$AB$26)),Sheet2!B15,1)</f>
        <v>1</v>
      </c>
      <c r="M15" s="2">
        <f>HLOOKUP($B$6,'Salinizarea&amp;Alcalizarea'!$B$2:$F$26,Sheet2!B15,0)</f>
        <v>1</v>
      </c>
      <c r="N15" s="2">
        <f>HLOOKUP($B$7,IF('Date Inițiale'!$D$7=Sheet2!$E$3,Gleizarea!$B$2:$I$26,Gleizarea!$J$2:$Q$26),Sheet2!B15,0)</f>
        <v>1</v>
      </c>
      <c r="O15" s="2">
        <f>HLOOKUP($B$8,Pseudogleizare!$B$2:$H$26,Sheet2!B15,0)</f>
        <v>1</v>
      </c>
      <c r="P15" s="2">
        <f>HLOOKUP($B$9,IF(OR($B$10=Textura!$B$3,$B$10=Textura!$C$3),'Adâncimea apelor freatice'!$C$2:$J$26,IF(OR($B$10=Textura!$D$3,$B$10=Textura!$F$3),'Adâncimea apelor freatice'!$K$2:$R$26,'Adâncimea apelor freatice'!$S$2:$Z$26)),Sheet2!B15,0)</f>
        <v>1</v>
      </c>
      <c r="Q15" s="2">
        <f>HLOOKUP($B$10,IF(OR($B$12=Porozitatea!$D$3,Porozitatea!$E$3,Porozitatea!$F$3),Textura!$B$3:$L$27,Textura!$M$3:$W$27),Sheet2!B15,0)</f>
        <v>1</v>
      </c>
      <c r="R15" s="2">
        <f>HLOOKUP($B$11,IF($B$5&lt;600,'Volumul edafic util'!$B$3:$G$27,'Volumul edafic util'!$H$3:$M$27),Sheet2!B15,0)</f>
        <v>1</v>
      </c>
      <c r="S15" s="2">
        <f>HLOOKUP($B$12,IF(OR($B$10=Textura!$B$3,$B$10=Textura!C15,$B$10=Textura!D15,$B$10=Textura!$E$3,$B$10=Textura!$I$3,$B$10=Textura!$J$3,$B$10=Textura!$K$3),Porozitatea!$B$3:$F$27,Porozitatea!$G$3:$K$27),Sheet2!B15,0)</f>
        <v>0.9</v>
      </c>
      <c r="T15" s="2">
        <f>HLOOKUP($B$13,IF($D$13=Sheet2!$F$3,pH!$B$3:$J$27,pH!$K$3:$X$27),Sheet2!B15,0)</f>
        <v>1</v>
      </c>
      <c r="U15" s="2">
        <f>HLOOKUP($B$14,IF(OR($B$10=Textura!$D$3,$B$10=Textura!$E$3,$B$10=Textura!$F$3,$B$10=Textura!$G$3,$B$10=Textura!$H$3,$B$10=Textura!$L$3),'Rezerva de humus'!$L$3:$U$27,'Rezerva de humus'!$B$3:$K$27),Sheet2!B15,0)</f>
        <v>1</v>
      </c>
      <c r="V15" s="2">
        <f>HLOOKUP($B$15,'Conținutul de carbonați'!$B$2:$H$26,Sheet2!B15,0)</f>
        <v>1</v>
      </c>
      <c r="W15" s="1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x14ac:dyDescent="0.25">
      <c r="A16" s="44"/>
      <c r="B16" s="44"/>
      <c r="G16" s="1" t="s">
        <v>13</v>
      </c>
      <c r="H16" s="46">
        <f t="shared" si="0"/>
        <v>0.9</v>
      </c>
      <c r="I16" s="2">
        <f>HLOOKUP($B$2,Alunecări!$B$2:$E$26,Sheet2!B16,0)</f>
        <v>1</v>
      </c>
      <c r="J16" s="2">
        <f>HLOOKUP($B$3,Panta!$B$2:$F$26,Sheet2!B16,0)</f>
        <v>1</v>
      </c>
      <c r="K16" s="2">
        <f>HLOOKUP(MROUND($D$4,0.5),'Temperatura medie anuală'!$B$2:$N$26,Sheet2!B16,TRUE)</f>
        <v>1</v>
      </c>
      <c r="L16" s="2">
        <f>HLOOKUP($D$5,IF($D$4&lt;=8,Precipitații!$B$2:$J$26,IF(AND($D$4&gt;8,$D$4&lt;10),Precipitații!$K$2:$S$26,Precipitații!$T$2:$AB$26)),Sheet2!B16,1)</f>
        <v>1</v>
      </c>
      <c r="M16" s="2">
        <f>HLOOKUP($B$6,'Salinizarea&amp;Alcalizarea'!$B$2:$F$26,Sheet2!B16,0)</f>
        <v>1</v>
      </c>
      <c r="N16" s="2">
        <f>HLOOKUP($B$7,IF('Date Inițiale'!$D$7=Sheet2!$E$3,Gleizarea!$B$2:$I$26,Gleizarea!$J$2:$Q$26),Sheet2!B16,0)</f>
        <v>1</v>
      </c>
      <c r="O16" s="2">
        <f>HLOOKUP($B$8,Pseudogleizare!$B$2:$H$26,Sheet2!B16,0)</f>
        <v>1</v>
      </c>
      <c r="P16" s="2">
        <f>HLOOKUP($B$9,IF(OR($B$10=Textura!$B$3,$B$10=Textura!$C$3),'Adâncimea apelor freatice'!$C$2:$J$26,IF(OR($B$10=Textura!$D$3,$B$10=Textura!$F$3),'Adâncimea apelor freatice'!$K$2:$R$26,'Adâncimea apelor freatice'!$S$2:$Z$26)),Sheet2!B16,0)</f>
        <v>1</v>
      </c>
      <c r="Q16" s="2">
        <f>HLOOKUP($B$10,IF(OR($B$12=Porozitatea!$D$3,Porozitatea!$E$3,Porozitatea!$F$3),Textura!$B$3:$L$27,Textura!$M$3:$W$27),Sheet2!B16,0)</f>
        <v>1</v>
      </c>
      <c r="R16" s="2">
        <f>HLOOKUP($B$11,IF($B$5&lt;600,'Volumul edafic util'!$B$3:$G$27,'Volumul edafic util'!$H$3:$M$27),Sheet2!B16,0)</f>
        <v>1</v>
      </c>
      <c r="S16" s="2">
        <f>HLOOKUP($B$12,IF(OR($B$10=Textura!$B$3,$B$10=Textura!C16,$B$10=Textura!D16,$B$10=Textura!$E$3,$B$10=Textura!$I$3,$B$10=Textura!$J$3,$B$10=Textura!$K$3),Porozitatea!$B$3:$F$27,Porozitatea!$G$3:$K$27),Sheet2!B16,0)</f>
        <v>0.9</v>
      </c>
      <c r="T16" s="2">
        <f>HLOOKUP($B$13,IF($D$13=Sheet2!$F$3,pH!$B$3:$J$27,pH!$K$3:$X$27),Sheet2!B16,0)</f>
        <v>1</v>
      </c>
      <c r="U16" s="2">
        <f>HLOOKUP($B$14,IF(OR($B$10=Textura!$D$3,$B$10=Textura!$E$3,$B$10=Textura!$F$3,$B$10=Textura!$G$3,$B$10=Textura!$H$3,$B$10=Textura!$L$3),'Rezerva de humus'!$L$3:$U$27,'Rezerva de humus'!$B$3:$K$27),Sheet2!B16,0)</f>
        <v>1</v>
      </c>
      <c r="V16" s="2">
        <f>HLOOKUP($B$15,'Conținutul de carbonați'!$B$2:$H$26,Sheet2!B16,0)</f>
        <v>1</v>
      </c>
      <c r="W16" s="1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x14ac:dyDescent="0.25">
      <c r="A17" s="23" t="s">
        <v>24</v>
      </c>
      <c r="B17" s="47" t="s">
        <v>182</v>
      </c>
      <c r="C17" s="23"/>
      <c r="D17" s="47"/>
      <c r="G17" s="1" t="s">
        <v>14</v>
      </c>
      <c r="H17" s="46">
        <f t="shared" si="0"/>
        <v>0.81</v>
      </c>
      <c r="I17" s="2">
        <f>HLOOKUP($B$2,Alunecări!$B$2:$E$26,Sheet2!B17,0)</f>
        <v>1</v>
      </c>
      <c r="J17" s="2">
        <f>HLOOKUP($B$3,Panta!$B$2:$F$26,Sheet2!B17,0)</f>
        <v>1</v>
      </c>
      <c r="K17" s="2">
        <f>HLOOKUP(MROUND($D$4,0.5),'Temperatura medie anuală'!$B$2:$N$26,Sheet2!B17,TRUE)</f>
        <v>0.9</v>
      </c>
      <c r="L17" s="2">
        <f>HLOOKUP($D$5,IF($D$4&lt;=8,Precipitații!$B$2:$J$26,IF(AND($D$4&gt;8,$D$4&lt;10),Precipitații!$K$2:$S$26,Precipitații!$T$2:$AB$26)),Sheet2!B17,1)</f>
        <v>1</v>
      </c>
      <c r="M17" s="2">
        <f>HLOOKUP($B$6,'Salinizarea&amp;Alcalizarea'!$B$2:$F$26,Sheet2!B17,0)</f>
        <v>1</v>
      </c>
      <c r="N17" s="2">
        <f>HLOOKUP($B$7,IF('Date Inițiale'!$D$7=Sheet2!$E$3,Gleizarea!$B$2:$I$26,Gleizarea!$J$2:$Q$26),Sheet2!B17,0)</f>
        <v>1</v>
      </c>
      <c r="O17" s="2">
        <f>HLOOKUP($B$8,Pseudogleizare!$B$2:$H$26,Sheet2!B17,0)</f>
        <v>1</v>
      </c>
      <c r="P17" s="2">
        <f>HLOOKUP($B$9,IF(OR($B$10=Textura!$B$3,$B$10=Textura!$C$3),'Adâncimea apelor freatice'!$C$2:$J$26,IF(OR($B$10=Textura!$D$3,$B$10=Textura!$F$3),'Adâncimea apelor freatice'!$K$2:$R$26,'Adâncimea apelor freatice'!$S$2:$Z$26)),Sheet2!B17,0)</f>
        <v>1</v>
      </c>
      <c r="Q17" s="2">
        <f>HLOOKUP($B$10,IF(OR($B$12=Porozitatea!$D$3,Porozitatea!$E$3,Porozitatea!$F$3),Textura!$B$3:$L$27,Textura!$M$3:$W$27),Sheet2!B17,0)</f>
        <v>1</v>
      </c>
      <c r="R17" s="2">
        <f>HLOOKUP($B$11,IF($B$5&lt;600,'Volumul edafic util'!$B$3:$G$27,'Volumul edafic util'!$H$3:$M$27),Sheet2!B17,0)</f>
        <v>1</v>
      </c>
      <c r="S17" s="2">
        <f>HLOOKUP($B$12,IF(OR($B$10=Textura!$B$3,$B$10=Textura!C17,$B$10=Textura!D17,$B$10=Textura!$E$3,$B$10=Textura!$I$3,$B$10=Textura!$J$3,$B$10=Textura!$K$3),Porozitatea!$B$3:$F$27,Porozitatea!$G$3:$K$27),Sheet2!B17,0)</f>
        <v>0.9</v>
      </c>
      <c r="T17" s="2">
        <f>HLOOKUP($B$13,IF($D$13=Sheet2!$F$3,pH!$B$3:$J$27,pH!$K$3:$X$27),Sheet2!B17,0)</f>
        <v>1</v>
      </c>
      <c r="U17" s="2">
        <f>HLOOKUP($B$14,IF(OR($B$10=Textura!$D$3,$B$10=Textura!$E$3,$B$10=Textura!$F$3,$B$10=Textura!$G$3,$B$10=Textura!$H$3,$B$10=Textura!$L$3),'Rezerva de humus'!$L$3:$U$27,'Rezerva de humus'!$B$3:$K$27),Sheet2!B17,0)</f>
        <v>1</v>
      </c>
      <c r="V17" s="2">
        <f>HLOOKUP($B$15,'Conținutul de carbonați'!$B$2:$H$26,Sheet2!B17,0)</f>
        <v>1</v>
      </c>
      <c r="W17" s="1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x14ac:dyDescent="0.25">
      <c r="A18" s="1" t="str">
        <f>$G$6</f>
        <v>PR (Păr)</v>
      </c>
      <c r="B18" s="2">
        <f>$H$6</f>
        <v>1</v>
      </c>
      <c r="C18" s="1"/>
      <c r="D18" s="2"/>
      <c r="G18" s="1" t="s">
        <v>15</v>
      </c>
      <c r="H18" s="46">
        <f t="shared" si="0"/>
        <v>0.8</v>
      </c>
      <c r="I18" s="2">
        <f>HLOOKUP($B$2,Alunecări!$B$2:$E$26,Sheet2!B18,0)</f>
        <v>1</v>
      </c>
      <c r="J18" s="2">
        <f>HLOOKUP($B$3,Panta!$B$2:$F$26,Sheet2!B18,0)</f>
        <v>1</v>
      </c>
      <c r="K18" s="2">
        <f>HLOOKUP(MROUND($D$4,0.5),'Temperatura medie anuală'!$B$2:$N$26,Sheet2!B18,TRUE)</f>
        <v>1</v>
      </c>
      <c r="L18" s="2">
        <f>HLOOKUP($D$5,IF($D$4&lt;=8,Precipitații!$B$2:$J$26,IF(AND($D$4&gt;8,$D$4&lt;10),Precipitații!$K$2:$S$26,Precipitații!$T$2:$AB$26)),Sheet2!B18,1)</f>
        <v>1</v>
      </c>
      <c r="M18" s="2">
        <f>HLOOKUP($B$6,'Salinizarea&amp;Alcalizarea'!$B$2:$F$26,Sheet2!B18,0)</f>
        <v>1</v>
      </c>
      <c r="N18" s="2">
        <f>HLOOKUP($B$7,IF('Date Inițiale'!$D$7=Sheet2!$E$3,Gleizarea!$B$2:$I$26,Gleizarea!$J$2:$Q$26),Sheet2!B18,0)</f>
        <v>1</v>
      </c>
      <c r="O18" s="2">
        <f>HLOOKUP($B$8,Pseudogleizare!$B$2:$H$26,Sheet2!B18,0)</f>
        <v>1</v>
      </c>
      <c r="P18" s="2">
        <f>HLOOKUP($B$9,IF(OR($B$10=Textura!$B$3,$B$10=Textura!$C$3),'Adâncimea apelor freatice'!$C$2:$J$26,IF(OR($B$10=Textura!$D$3,$B$10=Textura!$F$3),'Adâncimea apelor freatice'!$K$2:$R$26,'Adâncimea apelor freatice'!$S$2:$Z$26)),Sheet2!B18,0)</f>
        <v>1</v>
      </c>
      <c r="Q18" s="2">
        <f>HLOOKUP($B$10,IF(OR($B$12=Porozitatea!$D$3,Porozitatea!$E$3,Porozitatea!$F$3),Textura!$B$3:$L$27,Textura!$M$3:$W$27),Sheet2!B18,0)</f>
        <v>1</v>
      </c>
      <c r="R18" s="2">
        <f>HLOOKUP($B$11,IF($B$5&lt;600,'Volumul edafic util'!$B$3:$G$27,'Volumul edafic util'!$H$3:$M$27),Sheet2!B18,0)</f>
        <v>1</v>
      </c>
      <c r="S18" s="2">
        <f>HLOOKUP($B$12,IF(OR($B$10=Textura!$B$3,$B$10=Textura!C18,$B$10=Textura!D18,$B$10=Textura!$E$3,$B$10=Textura!$I$3,$B$10=Textura!$J$3,$B$10=Textura!$K$3),Porozitatea!$B$3:$F$27,Porozitatea!$G$3:$K$27),Sheet2!B18,0)</f>
        <v>0.8</v>
      </c>
      <c r="T18" s="2">
        <f>HLOOKUP($B$13,IF($D$13=Sheet2!$F$3,pH!$B$3:$J$27,pH!$K$3:$X$27),Sheet2!B18,0)</f>
        <v>1</v>
      </c>
      <c r="U18" s="2">
        <f>HLOOKUP($B$14,IF(OR($B$10=Textura!$D$3,$B$10=Textura!$E$3,$B$10=Textura!$F$3,$B$10=Textura!$G$3,$B$10=Textura!$H$3,$B$10=Textura!$L$3),'Rezerva de humus'!$L$3:$U$27,'Rezerva de humus'!$B$3:$K$27),Sheet2!B18,0)</f>
        <v>1</v>
      </c>
      <c r="V18" s="2">
        <f>HLOOKUP($B$15,'Conținutul de carbonați'!$B$2:$H$26,Sheet2!B18,0)</f>
        <v>1</v>
      </c>
      <c r="W18" s="1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x14ac:dyDescent="0.25">
      <c r="A19" s="1" t="str">
        <f>$G$7</f>
        <v>PN (Prun)</v>
      </c>
      <c r="B19" s="2">
        <f>$H$7</f>
        <v>1</v>
      </c>
      <c r="C19" s="1"/>
      <c r="D19" s="2"/>
      <c r="G19" s="1" t="s">
        <v>16</v>
      </c>
      <c r="H19" s="46">
        <f t="shared" si="0"/>
        <v>0.9</v>
      </c>
      <c r="I19" s="2">
        <f>HLOOKUP($B$2,Alunecări!$B$2:$E$26,Sheet2!B19,0)</f>
        <v>1</v>
      </c>
      <c r="J19" s="2">
        <f>HLOOKUP($B$3,Panta!$B$2:$F$26,Sheet2!B19,0)</f>
        <v>1</v>
      </c>
      <c r="K19" s="2">
        <f>HLOOKUP(MROUND($D$4,0.5),'Temperatura medie anuală'!$B$2:$N$26,Sheet2!B19,TRUE)</f>
        <v>1</v>
      </c>
      <c r="L19" s="2">
        <f>HLOOKUP($D$5,IF($D$4&lt;=8,Precipitații!$B$2:$J$26,IF(AND($D$4&gt;8,$D$4&lt;10),Precipitații!$K$2:$S$26,Precipitații!$T$2:$AB$26)),Sheet2!B19,1)</f>
        <v>1</v>
      </c>
      <c r="M19" s="2">
        <f>HLOOKUP($B$6,'Salinizarea&amp;Alcalizarea'!$B$2:$F$26,Sheet2!B19,0)</f>
        <v>1</v>
      </c>
      <c r="N19" s="2">
        <f>HLOOKUP($B$7,IF('Date Inițiale'!$D$7=Sheet2!$E$3,Gleizarea!$B$2:$I$26,Gleizarea!$J$2:$Q$26),Sheet2!B19,0)</f>
        <v>1</v>
      </c>
      <c r="O19" s="2">
        <f>HLOOKUP($B$8,Pseudogleizare!$B$2:$H$26,Sheet2!B19,0)</f>
        <v>1</v>
      </c>
      <c r="P19" s="2">
        <f>HLOOKUP($B$9,IF(OR($B$10=Textura!$B$3,$B$10=Textura!$C$3),'Adâncimea apelor freatice'!$C$2:$J$26,IF(OR($B$10=Textura!$D$3,$B$10=Textura!$F$3),'Adâncimea apelor freatice'!$K$2:$R$26,'Adâncimea apelor freatice'!$S$2:$Z$26)),Sheet2!B19,0)</f>
        <v>1</v>
      </c>
      <c r="Q19" s="2">
        <f>HLOOKUP($B$10,IF(OR($B$12=Porozitatea!$D$3,Porozitatea!$E$3,Porozitatea!$F$3),Textura!$B$3:$L$27,Textura!$M$3:$W$27),Sheet2!B19,0)</f>
        <v>1</v>
      </c>
      <c r="R19" s="2">
        <f>HLOOKUP($B$11,IF($B$5&lt;600,'Volumul edafic util'!$B$3:$G$27,'Volumul edafic util'!$H$3:$M$27),Sheet2!B19,0)</f>
        <v>1</v>
      </c>
      <c r="S19" s="2">
        <f>HLOOKUP($B$12,IF(OR($B$10=Textura!$B$3,$B$10=Textura!C19,$B$10=Textura!D19,$B$10=Textura!$E$3,$B$10=Textura!$I$3,$B$10=Textura!$J$3,$B$10=Textura!$K$3),Porozitatea!$B$3:$F$27,Porozitatea!$G$3:$K$27),Sheet2!B19,0)</f>
        <v>0.9</v>
      </c>
      <c r="T19" s="2">
        <f>HLOOKUP($B$13,IF($D$13=Sheet2!$F$3,pH!$B$3:$J$27,pH!$K$3:$X$27),Sheet2!B19,0)</f>
        <v>1</v>
      </c>
      <c r="U19" s="2">
        <f>HLOOKUP($B$14,IF(OR($B$10=Textura!$D$3,$B$10=Textura!$E$3,$B$10=Textura!$F$3,$B$10=Textura!$G$3,$B$10=Textura!$H$3,$B$10=Textura!$L$3),'Rezerva de humus'!$L$3:$U$27,'Rezerva de humus'!$B$3:$K$27),Sheet2!B19,0)</f>
        <v>1</v>
      </c>
      <c r="V19" s="2">
        <f>HLOOKUP($B$15,'Conținutul de carbonați'!$B$2:$H$26,Sheet2!B19,0)</f>
        <v>1</v>
      </c>
      <c r="W19" s="1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x14ac:dyDescent="0.25">
      <c r="A20" s="1" t="str">
        <f>$G$8</f>
        <v>CV (Cireș)</v>
      </c>
      <c r="B20" s="2">
        <f>$H$8</f>
        <v>1</v>
      </c>
      <c r="C20" s="1"/>
      <c r="D20" s="2"/>
      <c r="G20" s="1" t="s">
        <v>17</v>
      </c>
      <c r="H20" s="46">
        <f t="shared" si="0"/>
        <v>1</v>
      </c>
      <c r="I20" s="2">
        <f>HLOOKUP($B$2,Alunecări!$B$2:$E$26,Sheet2!B20,0)</f>
        <v>1</v>
      </c>
      <c r="J20" s="2">
        <f>HLOOKUP($B$3,Panta!$B$2:$F$26,Sheet2!B20,0)</f>
        <v>1</v>
      </c>
      <c r="K20" s="2">
        <f>HLOOKUP(MROUND($D$4,0.5),'Temperatura medie anuală'!$B$2:$N$26,Sheet2!B20,TRUE)</f>
        <v>1</v>
      </c>
      <c r="L20" s="2">
        <f>HLOOKUP($D$5,IF($D$4&lt;=8,Precipitații!$B$2:$J$26,IF(AND($D$4&gt;8,$D$4&lt;10),Precipitații!$K$2:$S$26,Precipitații!$T$2:$AB$26)),Sheet2!B20,1)</f>
        <v>1</v>
      </c>
      <c r="M20" s="2">
        <f>HLOOKUP($B$6,'Salinizarea&amp;Alcalizarea'!$B$2:$F$26,Sheet2!B20,0)</f>
        <v>1</v>
      </c>
      <c r="N20" s="2">
        <f>HLOOKUP($B$7,IF('Date Inițiale'!$D$7=Sheet2!$E$3,Gleizarea!$B$2:$I$26,Gleizarea!$J$2:$Q$26),Sheet2!B20,0)</f>
        <v>1</v>
      </c>
      <c r="O20" s="2">
        <f>HLOOKUP($B$8,Pseudogleizare!$B$2:$H$26,Sheet2!B20,0)</f>
        <v>1</v>
      </c>
      <c r="P20" s="2">
        <f>HLOOKUP($B$9,IF(OR($B$10=Textura!$B$3,$B$10=Textura!$C$3),'Adâncimea apelor freatice'!$C$2:$J$26,IF(OR($B$10=Textura!$D$3,$B$10=Textura!$F$3),'Adâncimea apelor freatice'!$K$2:$R$26,'Adâncimea apelor freatice'!$S$2:$Z$26)),Sheet2!B20,0)</f>
        <v>1</v>
      </c>
      <c r="Q20" s="2">
        <f>HLOOKUP($B$10,IF(OR($B$12=Porozitatea!$D$3,Porozitatea!$E$3,Porozitatea!$F$3),Textura!$B$3:$L$27,Textura!$M$3:$W$27),Sheet2!B20,0)</f>
        <v>1</v>
      </c>
      <c r="R20" s="2">
        <f>HLOOKUP($B$11,IF($B$5&lt;600,'Volumul edafic util'!$B$3:$G$27,'Volumul edafic util'!$H$3:$M$27),Sheet2!B20,0)</f>
        <v>1</v>
      </c>
      <c r="S20" s="2">
        <f>HLOOKUP($B$12,IF(OR($B$10=Textura!$B$3,$B$10=Textura!C20,$B$10=Textura!D20,$B$10=Textura!$E$3,$B$10=Textura!$I$3,$B$10=Textura!$J$3,$B$10=Textura!$K$3),Porozitatea!$B$3:$F$27,Porozitatea!$G$3:$K$27),Sheet2!B20,0)</f>
        <v>1</v>
      </c>
      <c r="T20" s="2">
        <f>HLOOKUP($B$13,IF($D$13=Sheet2!$F$3,pH!$B$3:$J$27,pH!$K$3:$X$27),Sheet2!B20,0)</f>
        <v>1</v>
      </c>
      <c r="U20" s="2">
        <f>HLOOKUP($B$14,IF(OR($B$10=Textura!$D$3,$B$10=Textura!$E$3,$B$10=Textura!$F$3,$B$10=Textura!$G$3,$B$10=Textura!$H$3,$B$10=Textura!$L$3),'Rezerva de humus'!$L$3:$U$27,'Rezerva de humus'!$B$3:$K$27),Sheet2!B20,0)</f>
        <v>1</v>
      </c>
      <c r="V20" s="2">
        <f>HLOOKUP($B$15,'Conținutul de carbonați'!$B$2:$H$26,Sheet2!B20,0)</f>
        <v>1</v>
      </c>
      <c r="W20" s="1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x14ac:dyDescent="0.25">
      <c r="A21" s="1" t="str">
        <f>$G$9</f>
        <v>CS (Cais)</v>
      </c>
      <c r="B21" s="2">
        <f>$H$9</f>
        <v>1</v>
      </c>
      <c r="C21" s="1"/>
      <c r="D21" s="2"/>
      <c r="G21" s="1" t="s">
        <v>18</v>
      </c>
      <c r="H21" s="46">
        <f t="shared" si="0"/>
        <v>1</v>
      </c>
      <c r="I21" s="2">
        <f>HLOOKUP($B$2,Alunecări!$B$2:$E$26,Sheet2!B21,0)</f>
        <v>1</v>
      </c>
      <c r="J21" s="2">
        <f>HLOOKUP($B$3,Panta!$B$2:$F$26,Sheet2!B21,0)</f>
        <v>1</v>
      </c>
      <c r="K21" s="2">
        <f>HLOOKUP(MROUND($D$4,0.5),'Temperatura medie anuală'!$B$2:$N$26,Sheet2!B21,TRUE)</f>
        <v>1</v>
      </c>
      <c r="L21" s="2">
        <f>HLOOKUP($D$5,IF($D$4&lt;=8,Precipitații!$B$2:$J$26,IF(AND($D$4&gt;8,$D$4&lt;10),Precipitații!$K$2:$S$26,Precipitații!$T$2:$AB$26)),Sheet2!B21,1)</f>
        <v>1</v>
      </c>
      <c r="M21" s="2">
        <f>HLOOKUP($B$6,'Salinizarea&amp;Alcalizarea'!$B$2:$F$26,Sheet2!B21,0)</f>
        <v>1</v>
      </c>
      <c r="N21" s="2">
        <f>HLOOKUP($B$7,IF('Date Inițiale'!$D$7=Sheet2!$E$3,Gleizarea!$B$2:$I$26,Gleizarea!$J$2:$Q$26),Sheet2!B21,0)</f>
        <v>1</v>
      </c>
      <c r="O21" s="2">
        <f>HLOOKUP($B$8,Pseudogleizare!$B$2:$H$26,Sheet2!B21,0)</f>
        <v>1</v>
      </c>
      <c r="P21" s="2">
        <f>HLOOKUP($B$9,IF(OR($B$10=Textura!$B$3,$B$10=Textura!$C$3),'Adâncimea apelor freatice'!$C$2:$J$26,IF(OR($B$10=Textura!$D$3,$B$10=Textura!$F$3),'Adâncimea apelor freatice'!$K$2:$R$26,'Adâncimea apelor freatice'!$S$2:$Z$26)),Sheet2!B21,0)</f>
        <v>1</v>
      </c>
      <c r="Q21" s="2">
        <f>HLOOKUP($B$10,IF(OR($B$12=Porozitatea!$D$3,Porozitatea!$E$3,Porozitatea!$F$3),Textura!$B$3:$L$27,Textura!$M$3:$W$27),Sheet2!B21,0)</f>
        <v>1</v>
      </c>
      <c r="R21" s="2">
        <f>HLOOKUP($B$11,IF($B$5&lt;600,'Volumul edafic util'!$B$3:$G$27,'Volumul edafic util'!$H$3:$M$27),Sheet2!B21,0)</f>
        <v>1</v>
      </c>
      <c r="S21" s="2">
        <f>HLOOKUP($B$12,IF(OR($B$10=Textura!$B$3,$B$10=Textura!C21,$B$10=Textura!D21,$B$10=Textura!$E$3,$B$10=Textura!$I$3,$B$10=Textura!$J$3,$B$10=Textura!$K$3),Porozitatea!$B$3:$F$27,Porozitatea!$G$3:$K$27),Sheet2!B21,0)</f>
        <v>1</v>
      </c>
      <c r="T21" s="2">
        <f>HLOOKUP($B$13,IF($D$13=Sheet2!$F$3,pH!$B$3:$J$27,pH!$K$3:$X$27),Sheet2!B21,0)</f>
        <v>1</v>
      </c>
      <c r="U21" s="2">
        <f>HLOOKUP($B$14,IF(OR($B$10=Textura!$D$3,$B$10=Textura!$E$3,$B$10=Textura!$F$3,$B$10=Textura!$G$3,$B$10=Textura!$H$3,$B$10=Textura!$L$3),'Rezerva de humus'!$L$3:$U$27,'Rezerva de humus'!$B$3:$K$27),Sheet2!B21,0)</f>
        <v>1</v>
      </c>
      <c r="V21" s="2">
        <f>HLOOKUP($B$15,'Conținutul de carbonați'!$B$2:$H$26,Sheet2!B21,0)</f>
        <v>1</v>
      </c>
      <c r="W21" s="1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x14ac:dyDescent="0.25">
      <c r="A22" s="1" t="str">
        <f>$G$10</f>
        <v>PC (Piersic)</v>
      </c>
      <c r="B22" s="2">
        <f>$H$10</f>
        <v>1</v>
      </c>
      <c r="C22" s="1"/>
      <c r="D22" s="2"/>
      <c r="G22" s="1" t="s">
        <v>19</v>
      </c>
      <c r="H22" s="46">
        <f t="shared" si="0"/>
        <v>0.9</v>
      </c>
      <c r="I22" s="2">
        <f>HLOOKUP($B$2,Alunecări!$B$2:$E$26,Sheet2!B22,0)</f>
        <v>1</v>
      </c>
      <c r="J22" s="2">
        <f>HLOOKUP($B$3,Panta!$B$2:$F$26,Sheet2!B22,0)</f>
        <v>1</v>
      </c>
      <c r="K22" s="2">
        <f>HLOOKUP(MROUND($D$4,0.5),'Temperatura medie anuală'!$B$2:$N$26,Sheet2!B22,TRUE)</f>
        <v>0.9</v>
      </c>
      <c r="L22" s="2">
        <f>HLOOKUP($D$5,IF($D$4&lt;=8,Precipitații!$B$2:$J$26,IF(AND($D$4&gt;8,$D$4&lt;10),Precipitații!$K$2:$S$26,Precipitații!$T$2:$AB$26)),Sheet2!B22,1)</f>
        <v>1</v>
      </c>
      <c r="M22" s="2">
        <f>HLOOKUP($B$6,'Salinizarea&amp;Alcalizarea'!$B$2:$F$26,Sheet2!B22,0)</f>
        <v>1</v>
      </c>
      <c r="N22" s="2">
        <f>HLOOKUP($B$7,IF('Date Inițiale'!$D$7=Sheet2!$E$3,Gleizarea!$B$2:$I$26,Gleizarea!$J$2:$Q$26),Sheet2!B22,0)</f>
        <v>1</v>
      </c>
      <c r="O22" s="2">
        <f>HLOOKUP($B$8,Pseudogleizare!$B$2:$H$26,Sheet2!B22,0)</f>
        <v>1</v>
      </c>
      <c r="P22" s="2">
        <f>HLOOKUP($B$9,IF(OR($B$10=Textura!$B$3,$B$10=Textura!$C$3),'Adâncimea apelor freatice'!$C$2:$J$26,IF(OR($B$10=Textura!$D$3,$B$10=Textura!$F$3),'Adâncimea apelor freatice'!$K$2:$R$26,'Adâncimea apelor freatice'!$S$2:$Z$26)),Sheet2!B22,0)</f>
        <v>1</v>
      </c>
      <c r="Q22" s="2">
        <f>HLOOKUP($B$10,IF(OR($B$12=Porozitatea!$D$3,Porozitatea!$E$3,Porozitatea!$F$3),Textura!$B$3:$L$27,Textura!$M$3:$W$27),Sheet2!B22,0)</f>
        <v>1</v>
      </c>
      <c r="R22" s="2">
        <f>HLOOKUP($B$11,IF($B$5&lt;600,'Volumul edafic util'!$B$3:$G$27,'Volumul edafic util'!$H$3:$M$27),Sheet2!B22,0)</f>
        <v>1</v>
      </c>
      <c r="S22" s="2">
        <f>HLOOKUP($B$12,IF(OR($B$10=Textura!$B$3,$B$10=Textura!C22,$B$10=Textura!D22,$B$10=Textura!$E$3,$B$10=Textura!$I$3,$B$10=Textura!$J$3,$B$10=Textura!$K$3),Porozitatea!$B$3:$F$27,Porozitatea!$G$3:$K$27),Sheet2!B22,0)</f>
        <v>1</v>
      </c>
      <c r="T22" s="2">
        <f>HLOOKUP($B$13,IF($D$13=Sheet2!$F$3,pH!$B$3:$J$27,pH!$K$3:$X$27),Sheet2!B22,0)</f>
        <v>1</v>
      </c>
      <c r="U22" s="2">
        <f>HLOOKUP($B$14,IF(OR($B$10=Textura!$D$3,$B$10=Textura!$E$3,$B$10=Textura!$F$3,$B$10=Textura!$G$3,$B$10=Textura!$H$3,$B$10=Textura!$L$3),'Rezerva de humus'!$L$3:$U$27,'Rezerva de humus'!$B$3:$K$27),Sheet2!B22,0)</f>
        <v>1</v>
      </c>
      <c r="V22" s="2">
        <f>HLOOKUP($B$15,'Conținutul de carbonați'!$B$2:$H$26,Sheet2!B22,0)</f>
        <v>1</v>
      </c>
      <c r="W22" s="1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x14ac:dyDescent="0.25">
      <c r="A23" s="1" t="str">
        <f>$G$11</f>
        <v>VV (Vie-vin)</v>
      </c>
      <c r="B23" s="2">
        <f>$H$11</f>
        <v>1</v>
      </c>
      <c r="C23" s="1"/>
      <c r="D23" s="2"/>
      <c r="G23" s="1" t="s">
        <v>20</v>
      </c>
      <c r="H23" s="46">
        <f t="shared" si="0"/>
        <v>1</v>
      </c>
      <c r="I23" s="2">
        <f>HLOOKUP($B$2,Alunecări!$B$2:$E$26,Sheet2!B23,0)</f>
        <v>1</v>
      </c>
      <c r="J23" s="2">
        <f>HLOOKUP($B$3,Panta!$B$2:$F$26,Sheet2!B23,0)</f>
        <v>1</v>
      </c>
      <c r="K23" s="2">
        <f>HLOOKUP(MROUND($D$4,0.5),'Temperatura medie anuală'!$B$2:$N$26,Sheet2!B23,TRUE)</f>
        <v>1</v>
      </c>
      <c r="L23" s="2">
        <f>HLOOKUP($D$5,IF($D$4&lt;=8,Precipitații!$B$2:$J$26,IF(AND($D$4&gt;8,$D$4&lt;10),Precipitații!$K$2:$S$26,Precipitații!$T$2:$AB$26)),Sheet2!B23,1)</f>
        <v>1</v>
      </c>
      <c r="M23" s="2">
        <f>HLOOKUP($B$6,'Salinizarea&amp;Alcalizarea'!$B$2:$F$26,Sheet2!B23,0)</f>
        <v>1</v>
      </c>
      <c r="N23" s="2">
        <f>HLOOKUP($B$7,IF('Date Inițiale'!$D$7=Sheet2!$E$3,Gleizarea!$B$2:$I$26,Gleizarea!$J$2:$Q$26),Sheet2!B23,0)</f>
        <v>1</v>
      </c>
      <c r="O23" s="2">
        <f>HLOOKUP($B$8,Pseudogleizare!$B$2:$H$26,Sheet2!B23,0)</f>
        <v>1</v>
      </c>
      <c r="P23" s="2">
        <f>HLOOKUP($B$9,IF(OR($B$10=Textura!$B$3,$B$10=Textura!$C$3),'Adâncimea apelor freatice'!$C$2:$J$26,IF(OR($B$10=Textura!$D$3,$B$10=Textura!$F$3),'Adâncimea apelor freatice'!$K$2:$R$26,'Adâncimea apelor freatice'!$S$2:$Z$26)),Sheet2!B23,0)</f>
        <v>1</v>
      </c>
      <c r="Q23" s="2">
        <f>HLOOKUP($B$10,IF(OR($B$12=Porozitatea!$D$3,Porozitatea!$E$3,Porozitatea!$F$3),Textura!$B$3:$L$27,Textura!$M$3:$W$27),Sheet2!B23,0)</f>
        <v>1</v>
      </c>
      <c r="R23" s="2">
        <f>HLOOKUP($B$11,IF($B$5&lt;600,'Volumul edafic util'!$B$3:$G$27,'Volumul edafic util'!$H$3:$M$27),Sheet2!B23,0)</f>
        <v>1</v>
      </c>
      <c r="S23" s="2">
        <f>HLOOKUP($B$12,IF(OR($B$10=Textura!$B$3,$B$10=Textura!C23,$B$10=Textura!D23,$B$10=Textura!$E$3,$B$10=Textura!$I$3,$B$10=Textura!$J$3,$B$10=Textura!$K$3),Porozitatea!$B$3:$F$27,Porozitatea!$G$3:$K$27),Sheet2!B23,0)</f>
        <v>1</v>
      </c>
      <c r="T23" s="2">
        <f>HLOOKUP($B$13,IF($D$13=Sheet2!$F$3,pH!$B$3:$J$27,pH!$K$3:$X$27),Sheet2!B23,0)</f>
        <v>1</v>
      </c>
      <c r="U23" s="2">
        <f>HLOOKUP($B$14,IF(OR($B$10=Textura!$D$3,$B$10=Textura!$E$3,$B$10=Textura!$F$3,$B$10=Textura!$G$3,$B$10=Textura!$H$3,$B$10=Textura!$L$3),'Rezerva de humus'!$L$3:$U$27,'Rezerva de humus'!$B$3:$K$27),Sheet2!B23,0)</f>
        <v>1</v>
      </c>
      <c r="V23" s="2">
        <f>HLOOKUP($B$15,'Conținutul de carbonați'!$B$2:$H$26,Sheet2!B23,0)</f>
        <v>1</v>
      </c>
      <c r="W23" s="1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x14ac:dyDescent="0.25">
      <c r="A24" s="1" t="str">
        <f>$G$12</f>
        <v>VM (Vie-masă)</v>
      </c>
      <c r="B24" s="2">
        <f>$H$12</f>
        <v>1</v>
      </c>
      <c r="C24" s="1"/>
      <c r="D24" s="2"/>
      <c r="G24" s="1" t="s">
        <v>21</v>
      </c>
      <c r="H24" s="46">
        <f t="shared" si="0"/>
        <v>1</v>
      </c>
      <c r="I24" s="2">
        <f>HLOOKUP($B$2,Alunecări!$B$2:$E$26,Sheet2!B24,0)</f>
        <v>1</v>
      </c>
      <c r="J24" s="2">
        <f>HLOOKUP($B$3,Panta!$B$2:$F$26,Sheet2!B24,0)</f>
        <v>1</v>
      </c>
      <c r="K24" s="2">
        <f>HLOOKUP(MROUND($D$4,0.5),'Temperatura medie anuală'!$B$2:$N$26,Sheet2!B24,TRUE)</f>
        <v>1</v>
      </c>
      <c r="L24" s="2">
        <f>HLOOKUP($D$5,IF($D$4&lt;=8,Precipitații!$B$2:$J$26,IF(AND($D$4&gt;8,$D$4&lt;10),Precipitații!$K$2:$S$26,Precipitații!$T$2:$AB$26)),Sheet2!B24,1)</f>
        <v>1</v>
      </c>
      <c r="M24" s="2">
        <f>HLOOKUP($B$6,'Salinizarea&amp;Alcalizarea'!$B$2:$F$26,Sheet2!B24,0)</f>
        <v>1</v>
      </c>
      <c r="N24" s="2">
        <f>HLOOKUP($B$7,IF('Date Inițiale'!$D$7=Sheet2!$E$3,Gleizarea!$B$2:$I$26,Gleizarea!$J$2:$Q$26),Sheet2!B24,0)</f>
        <v>1</v>
      </c>
      <c r="O24" s="2">
        <f>HLOOKUP($B$8,Pseudogleizare!$B$2:$H$26,Sheet2!B24,0)</f>
        <v>1</v>
      </c>
      <c r="P24" s="2">
        <f>HLOOKUP($B$9,IF(OR($B$10=Textura!$B$3,$B$10=Textura!$C$3),'Adâncimea apelor freatice'!$C$2:$J$26,IF(OR($B$10=Textura!$D$3,$B$10=Textura!$F$3),'Adâncimea apelor freatice'!$K$2:$R$26,'Adâncimea apelor freatice'!$S$2:$Z$26)),Sheet2!B24,0)</f>
        <v>1</v>
      </c>
      <c r="Q24" s="2">
        <f>HLOOKUP($B$10,IF(OR($B$12=Porozitatea!$D$3,Porozitatea!$E$3,Porozitatea!$F$3),Textura!$B$3:$L$27,Textura!$M$3:$W$27),Sheet2!B24,0)</f>
        <v>1</v>
      </c>
      <c r="R24" s="2">
        <f>HLOOKUP($B$11,IF($B$5&lt;600,'Volumul edafic util'!$B$3:$G$27,'Volumul edafic util'!$H$3:$M$27),Sheet2!B24,0)</f>
        <v>1</v>
      </c>
      <c r="S24" s="2">
        <f>HLOOKUP($B$12,IF(OR($B$10=Textura!$B$3,$B$10=Textura!C24,$B$10=Textura!D24,$B$10=Textura!$E$3,$B$10=Textura!$I$3,$B$10=Textura!$J$3,$B$10=Textura!$K$3),Porozitatea!$B$3:$F$27,Porozitatea!$G$3:$K$27),Sheet2!B24,0)</f>
        <v>1</v>
      </c>
      <c r="T24" s="2">
        <f>HLOOKUP($B$13,IF($D$13=Sheet2!$F$3,pH!$B$3:$J$27,pH!$K$3:$X$27),Sheet2!B24,0)</f>
        <v>1</v>
      </c>
      <c r="U24" s="2">
        <f>HLOOKUP($B$14,IF(OR($B$10=Textura!$D$3,$B$10=Textura!$E$3,$B$10=Textura!$F$3,$B$10=Textura!$G$3,$B$10=Textura!$H$3,$B$10=Textura!$L$3),'Rezerva de humus'!$L$3:$U$27,'Rezerva de humus'!$B$3:$K$27),Sheet2!B24,0)</f>
        <v>1</v>
      </c>
      <c r="V24" s="2">
        <f>HLOOKUP($B$15,'Conținutul de carbonați'!$B$2:$H$26,Sheet2!B24,0)</f>
        <v>1</v>
      </c>
      <c r="W24" s="1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x14ac:dyDescent="0.25">
      <c r="A25" s="1" t="str">
        <f>$G$20</f>
        <v>MF (Mazăre-fasole)</v>
      </c>
      <c r="B25" s="2">
        <f>$H$20</f>
        <v>1</v>
      </c>
      <c r="C25" s="1"/>
      <c r="D25" s="2"/>
      <c r="G25" s="1" t="s">
        <v>22</v>
      </c>
      <c r="H25" s="46">
        <f t="shared" si="0"/>
        <v>0.64800000000000013</v>
      </c>
      <c r="I25" s="2">
        <f>HLOOKUP($B$2,Alunecări!$B$2:$E$26,Sheet2!B25,0)</f>
        <v>1</v>
      </c>
      <c r="J25" s="2">
        <f>HLOOKUP($B$3,Panta!$B$2:$F$26,Sheet2!B25,0)</f>
        <v>1</v>
      </c>
      <c r="K25" s="2">
        <f>HLOOKUP(MROUND($D$4,0.5),'Temperatura medie anuală'!$B$2:$N$26,Sheet2!B25,TRUE)</f>
        <v>0.8</v>
      </c>
      <c r="L25" s="2">
        <f>HLOOKUP($D$5,IF($D$4&lt;=8,Precipitații!$B$2:$J$26,IF(AND($D$4&gt;8,$D$4&lt;10),Precipitații!$K$2:$S$26,Precipitații!$T$2:$AB$26)),Sheet2!B25,1)</f>
        <v>1</v>
      </c>
      <c r="M25" s="2">
        <f>HLOOKUP($B$6,'Salinizarea&amp;Alcalizarea'!$B$2:$F$26,Sheet2!B25,0)</f>
        <v>1</v>
      </c>
      <c r="N25" s="2">
        <f>HLOOKUP($B$7,IF('Date Inițiale'!$D$7=Sheet2!$E$3,Gleizarea!$B$2:$I$26,Gleizarea!$J$2:$Q$26),Sheet2!B25,0)</f>
        <v>1</v>
      </c>
      <c r="O25" s="2">
        <f>HLOOKUP($B$8,Pseudogleizare!$B$2:$H$26,Sheet2!B25,0)</f>
        <v>1</v>
      </c>
      <c r="P25" s="2">
        <f>HLOOKUP($B$9,IF(OR($B$10=Textura!$B$3,$B$10=Textura!$C$3),'Adâncimea apelor freatice'!$C$2:$J$26,IF(OR($B$10=Textura!$D$3,$B$10=Textura!$F$3),'Adâncimea apelor freatice'!$K$2:$R$26,'Adâncimea apelor freatice'!$S$2:$Z$26)),Sheet2!B25,0)</f>
        <v>0.9</v>
      </c>
      <c r="Q25" s="2">
        <f>HLOOKUP($B$10,IF(OR($B$12=Porozitatea!$D$3,Porozitatea!$E$3,Porozitatea!$F$3),Textura!$B$3:$L$27,Textura!$M$3:$W$27),Sheet2!B25,0)</f>
        <v>1</v>
      </c>
      <c r="R25" s="2">
        <f>HLOOKUP($B$11,IF($B$5&lt;600,'Volumul edafic util'!$B$3:$G$27,'Volumul edafic util'!$H$3:$M$27),Sheet2!B25,0)</f>
        <v>1</v>
      </c>
      <c r="S25" s="2">
        <f>HLOOKUP($B$12,IF(OR($B$10=Textura!$B$3,$B$10=Textura!C25,$B$10=Textura!D25,$B$10=Textura!$E$3,$B$10=Textura!$I$3,$B$10=Textura!$J$3,$B$10=Textura!$K$3),Porozitatea!$B$3:$F$27,Porozitatea!$G$3:$K$27),Sheet2!B25,0)</f>
        <v>0.9</v>
      </c>
      <c r="T25" s="2">
        <f>HLOOKUP($B$13,IF($D$13=Sheet2!$F$3,pH!$B$3:$J$27,pH!$K$3:$X$27),Sheet2!B25,0)</f>
        <v>1</v>
      </c>
      <c r="U25" s="2">
        <f>HLOOKUP($B$14,IF(OR($B$10=Textura!$D$3,$B$10=Textura!$E$3,$B$10=Textura!$F$3,$B$10=Textura!$G$3,$B$10=Textura!$H$3,$B$10=Textura!$L$3),'Rezerva de humus'!$L$3:$U$27,'Rezerva de humus'!$B$3:$K$27),Sheet2!B25,0)</f>
        <v>1</v>
      </c>
      <c r="V25" s="2">
        <f>HLOOKUP($B$15,'Conținutul de carbonați'!$B$2:$H$26,Sheet2!B25,0)</f>
        <v>1</v>
      </c>
      <c r="W25" s="1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x14ac:dyDescent="0.25">
      <c r="A26" s="1" t="str">
        <f>$G$21</f>
        <v>IU (In ulei)</v>
      </c>
      <c r="B26" s="2">
        <f>$H$21</f>
        <v>1</v>
      </c>
      <c r="C26" s="1"/>
      <c r="D26" s="2"/>
      <c r="G26" s="1" t="s">
        <v>23</v>
      </c>
      <c r="H26" s="46">
        <f t="shared" si="0"/>
        <v>0.9</v>
      </c>
      <c r="I26" s="2">
        <f>HLOOKUP($B$2,Alunecări!$B$2:$E$26,Sheet2!B26,0)</f>
        <v>1</v>
      </c>
      <c r="J26" s="2">
        <f>HLOOKUP($B$3,Panta!$B$2:$F$26,Sheet2!B26,0)</f>
        <v>1</v>
      </c>
      <c r="K26" s="2">
        <f>HLOOKUP(MROUND($D$4,0.5),'Temperatura medie anuală'!$B$2:$N$26,Sheet2!B26,TRUE)</f>
        <v>1</v>
      </c>
      <c r="L26" s="2">
        <f>HLOOKUP($D$5,IF($D$4&lt;=8,Precipitații!$B$2:$J$26,IF(AND($D$4&gt;8,$D$4&lt;10),Precipitații!$K$2:$S$26,Precipitații!$T$2:$AB$26)),Sheet2!B26,1)</f>
        <v>1</v>
      </c>
      <c r="M26" s="2">
        <f>HLOOKUP($B$6,'Salinizarea&amp;Alcalizarea'!$B$2:$F$26,Sheet2!B26,0)</f>
        <v>1</v>
      </c>
      <c r="N26" s="2">
        <f>HLOOKUP($B$7,IF('Date Inițiale'!$D$7=Sheet2!$E$3,Gleizarea!$B$2:$I$26,Gleizarea!$J$2:$Q$26),Sheet2!B26,0)</f>
        <v>1</v>
      </c>
      <c r="O26" s="2">
        <f>HLOOKUP($B$8,Pseudogleizare!$B$2:$H$26,Sheet2!B26,0)</f>
        <v>1</v>
      </c>
      <c r="P26" s="2">
        <f>HLOOKUP($B$9,IF(OR($B$10=Textura!$B$3,$B$10=Textura!$C$3),'Adâncimea apelor freatice'!$C$2:$J$26,IF(OR($B$10=Textura!$D$3,$B$10=Textura!$F$3),'Adâncimea apelor freatice'!$K$2:$R$26,'Adâncimea apelor freatice'!$S$2:$Z$26)),Sheet2!B26,0)</f>
        <v>0.9</v>
      </c>
      <c r="Q26" s="2">
        <f>HLOOKUP($B$10,IF(OR($B$12=Porozitatea!$D$3,Porozitatea!$E$3,Porozitatea!$F$3),Textura!$B$3:$L$27,Textura!$M$3:$W$27),Sheet2!B26,0)</f>
        <v>1</v>
      </c>
      <c r="R26" s="2">
        <f>HLOOKUP($B$11,IF($B$5&lt;600,'Volumul edafic util'!$B$3:$G$27,'Volumul edafic util'!$H$3:$M$27),Sheet2!B26,0)</f>
        <v>1</v>
      </c>
      <c r="S26" s="2">
        <f>HLOOKUP($B$12,IF(OR($B$10=Textura!$B$3,$B$10=Textura!C26,$B$10=Textura!D26,$B$10=Textura!$E$3,$B$10=Textura!$I$3,$B$10=Textura!$J$3,$B$10=Textura!$K$3),Porozitatea!$B$3:$F$27,Porozitatea!$G$3:$K$27),Sheet2!B26,0)</f>
        <v>1</v>
      </c>
      <c r="T26" s="2">
        <f>HLOOKUP($B$13,IF($D$13=Sheet2!$F$3,pH!$B$3:$J$27,pH!$K$3:$X$27),Sheet2!B26,0)</f>
        <v>1</v>
      </c>
      <c r="U26" s="2">
        <f>HLOOKUP($B$14,IF(OR($B$10=Textura!$D$3,$B$10=Textura!$E$3,$B$10=Textura!$F$3,$B$10=Textura!$G$3,$B$10=Textura!$H$3,$B$10=Textura!$L$3),'Rezerva de humus'!$L$3:$U$27,'Rezerva de humus'!$B$3:$K$27),Sheet2!B26,0)</f>
        <v>1</v>
      </c>
      <c r="V26" s="2">
        <f>HLOOKUP($B$15,'Conținutul de carbonați'!$B$2:$H$26,Sheet2!B26,0)</f>
        <v>1</v>
      </c>
      <c r="W26" s="1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x14ac:dyDescent="0.25">
      <c r="A27" s="1" t="str">
        <f>$G$23</f>
        <v>CN (Cânepă)</v>
      </c>
      <c r="B27" s="2">
        <f>$H$23</f>
        <v>1</v>
      </c>
      <c r="C27" s="1"/>
      <c r="D27" s="2"/>
    </row>
    <row r="28" spans="1:36" x14ac:dyDescent="0.25">
      <c r="A28" s="1" t="str">
        <f>$G$24</f>
        <v>LU (Lucernă)</v>
      </c>
      <c r="B28" s="2">
        <f>$H$24</f>
        <v>1</v>
      </c>
      <c r="C28" s="1"/>
      <c r="D28" s="2"/>
    </row>
    <row r="29" spans="1:36" x14ac:dyDescent="0.25">
      <c r="A29" s="1" t="str">
        <f>$G$5</f>
        <v>MR (Măr)</v>
      </c>
      <c r="B29" s="2">
        <f>$H$5</f>
        <v>0.9</v>
      </c>
      <c r="C29" s="1"/>
      <c r="D29" s="2"/>
    </row>
    <row r="30" spans="1:36" x14ac:dyDescent="0.25">
      <c r="A30" s="1" t="str">
        <f>$G$14</f>
        <v>OR (Orz)</v>
      </c>
      <c r="B30" s="2">
        <f>$H$14</f>
        <v>0.9</v>
      </c>
      <c r="C30" s="1"/>
      <c r="D30" s="2"/>
    </row>
    <row r="31" spans="1:36" x14ac:dyDescent="0.25">
      <c r="A31" s="1" t="str">
        <f>$G$15</f>
        <v>PB (Porumb)</v>
      </c>
      <c r="B31" s="2">
        <f>$H$15</f>
        <v>0.9</v>
      </c>
      <c r="C31" s="1"/>
      <c r="D31" s="2"/>
    </row>
    <row r="32" spans="1:36" x14ac:dyDescent="0.25">
      <c r="A32" s="1" t="str">
        <f>$G$16</f>
        <v>FS (Floarea soarelui)</v>
      </c>
      <c r="B32" s="2">
        <f>$H$16</f>
        <v>0.9</v>
      </c>
      <c r="C32" s="1"/>
      <c r="D32" s="2"/>
    </row>
    <row r="33" spans="1:4" x14ac:dyDescent="0.25">
      <c r="A33" s="1" t="str">
        <f>$G$19</f>
        <v>SO (Soia)</v>
      </c>
      <c r="B33" s="2">
        <f>$H$19</f>
        <v>0.9</v>
      </c>
      <c r="C33" s="1"/>
      <c r="D33" s="2"/>
    </row>
    <row r="34" spans="1:4" x14ac:dyDescent="0.25">
      <c r="A34" s="1" t="str">
        <f>$G$22</f>
        <v>IF (In fibre)</v>
      </c>
      <c r="B34" s="2">
        <f>$H$22</f>
        <v>0.9</v>
      </c>
      <c r="C34" s="1"/>
      <c r="D34" s="2"/>
    </row>
    <row r="35" spans="1:4" x14ac:dyDescent="0.25">
      <c r="A35" s="1" t="str">
        <f>$G$26</f>
        <v>LG (Legume)</v>
      </c>
      <c r="B35" s="2">
        <f>$H$26</f>
        <v>0.9</v>
      </c>
      <c r="C35" s="1"/>
      <c r="D35" s="2"/>
    </row>
    <row r="36" spans="1:4" x14ac:dyDescent="0.25">
      <c r="A36" s="1" t="str">
        <f>$G$3</f>
        <v>PS (Pășuni)</v>
      </c>
      <c r="B36" s="2">
        <f>$H$3</f>
        <v>0.81</v>
      </c>
      <c r="C36" s="1"/>
      <c r="D36" s="2"/>
    </row>
    <row r="37" spans="1:4" x14ac:dyDescent="0.25">
      <c r="A37" s="1" t="str">
        <f>$G$17</f>
        <v>CT (Cartof)</v>
      </c>
      <c r="B37" s="2">
        <f>$H$17</f>
        <v>0.81</v>
      </c>
      <c r="C37" s="1"/>
      <c r="D37" s="2"/>
    </row>
    <row r="38" spans="1:4" x14ac:dyDescent="0.25">
      <c r="A38" s="1" t="str">
        <f>$G$13</f>
        <v>GR (Grâu)</v>
      </c>
      <c r="B38" s="2">
        <f>$H$13</f>
        <v>0.8</v>
      </c>
      <c r="C38" s="1"/>
      <c r="D38" s="2"/>
    </row>
    <row r="39" spans="1:4" x14ac:dyDescent="0.25">
      <c r="A39" s="1" t="str">
        <f>$G$18</f>
        <v>SF (Sfeclă de zahăr)</v>
      </c>
      <c r="B39" s="2">
        <f>$H$18</f>
        <v>0.8</v>
      </c>
      <c r="C39" s="1"/>
      <c r="D39" s="2"/>
    </row>
    <row r="40" spans="1:4" x14ac:dyDescent="0.25">
      <c r="A40" s="1" t="str">
        <f>$G$4</f>
        <v>FN (Fânețe)</v>
      </c>
      <c r="B40" s="2">
        <f>$H$4</f>
        <v>0.64800000000000013</v>
      </c>
      <c r="C40" s="1"/>
      <c r="D40" s="2"/>
    </row>
    <row r="41" spans="1:4" x14ac:dyDescent="0.25">
      <c r="A41" s="1" t="str">
        <f>$G$25</f>
        <v>TR (Trifoi)</v>
      </c>
      <c r="B41" s="2">
        <f>$H$25</f>
        <v>0.64800000000000013</v>
      </c>
      <c r="C41" s="1"/>
      <c r="D41" s="2"/>
    </row>
  </sheetData>
  <sortState ref="A18:B41">
    <sortCondition descending="1" ref="B18:B41"/>
  </sortState>
  <mergeCells count="4">
    <mergeCell ref="A1:B1"/>
    <mergeCell ref="G1:G2"/>
    <mergeCell ref="C1:D1"/>
    <mergeCell ref="E1:F1"/>
  </mergeCells>
  <conditionalFormatting sqref="H3:V26">
    <cfRule type="colorScale" priority="1">
      <colorScale>
        <cfvo type="num" val="0"/>
        <cfvo type="num" val="1"/>
        <color rgb="FFFF0000"/>
        <color theme="0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>
          <x14:formula1>
            <xm:f>Alunecări!$B$2:$E$2</xm:f>
          </x14:formula1>
          <xm:sqref>B2</xm:sqref>
        </x14:dataValidation>
        <x14:dataValidation type="list" allowBlank="1" showInputMessage="1" showErrorMessage="1">
          <x14:formula1>
            <xm:f>Panta!$B$2:$F$2</xm:f>
          </x14:formula1>
          <xm:sqref>B3</xm:sqref>
        </x14:dataValidation>
        <x14:dataValidation type="list" allowBlank="1" showInputMessage="1" showErrorMessage="1">
          <x14:formula1>
            <xm:f>'Salinizarea&amp;Alcalizarea'!$B$2:$F$2</xm:f>
          </x14:formula1>
          <xm:sqref>B6</xm:sqref>
        </x14:dataValidation>
        <x14:dataValidation type="list" allowBlank="1" showInputMessage="1" showErrorMessage="1">
          <x14:formula1>
            <xm:f>Gleizarea!$B$2:$I$2</xm:f>
          </x14:formula1>
          <xm:sqref>B7</xm:sqref>
        </x14:dataValidation>
        <x14:dataValidation type="list" allowBlank="1" showInputMessage="1" showErrorMessage="1">
          <x14:formula1>
            <xm:f>Pseudogleizare!$B$2:$H$2</xm:f>
          </x14:formula1>
          <xm:sqref>B8</xm:sqref>
        </x14:dataValidation>
        <x14:dataValidation type="list" allowBlank="1" showInputMessage="1" showErrorMessage="1">
          <x14:formula1>
            <xm:f>'Adâncimea apelor freatice'!$C$2:$J$2</xm:f>
          </x14:formula1>
          <xm:sqref>B9</xm:sqref>
        </x14:dataValidation>
        <x14:dataValidation type="list" allowBlank="1" showInputMessage="1" showErrorMessage="1">
          <x14:formula1>
            <xm:f>Textura!$B$3:$K$3</xm:f>
          </x14:formula1>
          <xm:sqref>B10</xm:sqref>
        </x14:dataValidation>
        <x14:dataValidation type="list" allowBlank="1" showInputMessage="1" showErrorMessage="1">
          <x14:formula1>
            <xm:f>'Volumul edafic util'!$B$3:$G$3</xm:f>
          </x14:formula1>
          <xm:sqref>B11</xm:sqref>
        </x14:dataValidation>
        <x14:dataValidation type="list" allowBlank="1" showInputMessage="1" showErrorMessage="1">
          <x14:formula1>
            <xm:f>pH!$K$3:$X$3</xm:f>
          </x14:formula1>
          <xm:sqref>B13</xm:sqref>
        </x14:dataValidation>
        <x14:dataValidation type="list" allowBlank="1" showInputMessage="1" showErrorMessage="1">
          <x14:formula1>
            <xm:f>'Rezerva de humus'!$B$3:$K$3</xm:f>
          </x14:formula1>
          <xm:sqref>B14</xm:sqref>
        </x14:dataValidation>
        <x14:dataValidation type="list" allowBlank="1" showInputMessage="1" showErrorMessage="1">
          <x14:formula1>
            <xm:f>'Conținutul de carbonați'!$B$2:$H$2</xm:f>
          </x14:formula1>
          <xm:sqref>B15</xm:sqref>
        </x14:dataValidation>
        <x14:dataValidation type="list" allowBlank="1" showInputMessage="1" showErrorMessage="1">
          <x14:formula1>
            <xm:f>Sheet2!$D$3:$D$6</xm:f>
          </x14:formula1>
          <xm:sqref>D3</xm:sqref>
        </x14:dataValidation>
        <x14:dataValidation type="list" allowBlank="1" showInputMessage="1" showErrorMessage="1">
          <x14:formula1>
            <xm:f>Sheet2!$E$3:$E$4</xm:f>
          </x14:formula1>
          <xm:sqref>D7</xm:sqref>
        </x14:dataValidation>
        <x14:dataValidation type="list" allowBlank="1" showInputMessage="1" showErrorMessage="1">
          <x14:formula1>
            <xm:f>Porozitatea!$B$3:$F$3</xm:f>
          </x14:formula1>
          <xm:sqref>B12</xm:sqref>
        </x14:dataValidation>
        <x14:dataValidation type="list" allowBlank="1" showInputMessage="1" showErrorMessage="1">
          <x14:formula1>
            <xm:f>Sheet2!$F$3:$F$4</xm:f>
          </x14:formula1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F31" sqref="F31"/>
    </sheetView>
  </sheetViews>
  <sheetFormatPr defaultRowHeight="15" x14ac:dyDescent="0.25"/>
  <cols>
    <col min="1" max="1" width="19.28515625" bestFit="1" customWidth="1"/>
    <col min="2" max="2" width="8.42578125" bestFit="1" customWidth="1"/>
    <col min="3" max="3" width="10.28515625" bestFit="1" customWidth="1"/>
    <col min="4" max="4" width="14.7109375" bestFit="1" customWidth="1"/>
    <col min="5" max="5" width="6.5703125" bestFit="1" customWidth="1"/>
  </cols>
  <sheetData>
    <row r="1" spans="1:5" x14ac:dyDescent="0.25">
      <c r="A1" s="49" t="s">
        <v>24</v>
      </c>
      <c r="B1" s="48" t="s">
        <v>30</v>
      </c>
      <c r="C1" s="48"/>
      <c r="D1" s="48"/>
      <c r="E1" s="48"/>
    </row>
    <row r="2" spans="1:5" x14ac:dyDescent="0.25">
      <c r="A2" s="49"/>
      <c r="B2" s="3" t="s">
        <v>25</v>
      </c>
      <c r="C2" s="3" t="s">
        <v>26</v>
      </c>
      <c r="D2" s="3" t="s">
        <v>27</v>
      </c>
      <c r="E2" s="3" t="s">
        <v>28</v>
      </c>
    </row>
    <row r="3" spans="1:5" x14ac:dyDescent="0.25">
      <c r="A3" s="1" t="s">
        <v>0</v>
      </c>
      <c r="B3" s="2">
        <v>1</v>
      </c>
      <c r="C3" s="2">
        <v>0.9</v>
      </c>
      <c r="D3" s="2">
        <v>0.8</v>
      </c>
      <c r="E3" s="2">
        <v>0.7</v>
      </c>
    </row>
    <row r="4" spans="1:5" x14ac:dyDescent="0.25">
      <c r="A4" s="1" t="s">
        <v>1</v>
      </c>
      <c r="B4" s="2">
        <v>1</v>
      </c>
      <c r="C4" s="2">
        <v>0.9</v>
      </c>
      <c r="D4" s="2">
        <v>0.8</v>
      </c>
      <c r="E4" s="2">
        <v>0.7</v>
      </c>
    </row>
    <row r="5" spans="1:5" x14ac:dyDescent="0.25">
      <c r="A5" s="1" t="s">
        <v>2</v>
      </c>
      <c r="B5" s="2">
        <v>1</v>
      </c>
      <c r="C5" s="2">
        <v>0.7</v>
      </c>
      <c r="D5" s="2">
        <v>0.6</v>
      </c>
      <c r="E5" s="2">
        <v>0.4</v>
      </c>
    </row>
    <row r="6" spans="1:5" x14ac:dyDescent="0.25">
      <c r="A6" s="1" t="s">
        <v>3</v>
      </c>
      <c r="B6" s="2">
        <v>1</v>
      </c>
      <c r="C6" s="2">
        <v>0.6</v>
      </c>
      <c r="D6" s="2">
        <v>0.5</v>
      </c>
      <c r="E6" s="2">
        <v>0.3</v>
      </c>
    </row>
    <row r="7" spans="1:5" x14ac:dyDescent="0.25">
      <c r="A7" s="1" t="s">
        <v>4</v>
      </c>
      <c r="B7" s="2">
        <v>1</v>
      </c>
      <c r="C7" s="2">
        <v>0.8</v>
      </c>
      <c r="D7" s="2">
        <v>0.7</v>
      </c>
      <c r="E7" s="2">
        <v>0.5</v>
      </c>
    </row>
    <row r="8" spans="1:5" x14ac:dyDescent="0.25">
      <c r="A8" s="1" t="s">
        <v>5</v>
      </c>
      <c r="B8" s="2">
        <v>1</v>
      </c>
      <c r="C8" s="2">
        <v>0.8</v>
      </c>
      <c r="D8" s="2">
        <v>0.6</v>
      </c>
      <c r="E8" s="2">
        <v>0.4</v>
      </c>
    </row>
    <row r="9" spans="1:5" x14ac:dyDescent="0.25">
      <c r="A9" s="1" t="s">
        <v>6</v>
      </c>
      <c r="B9" s="2">
        <v>1</v>
      </c>
      <c r="C9" s="2">
        <v>0.6</v>
      </c>
      <c r="D9" s="2">
        <v>0.5</v>
      </c>
      <c r="E9" s="2">
        <v>0.4</v>
      </c>
    </row>
    <row r="10" spans="1:5" x14ac:dyDescent="0.25">
      <c r="A10" s="1" t="s">
        <v>7</v>
      </c>
      <c r="B10" s="2">
        <v>1</v>
      </c>
      <c r="C10" s="2">
        <v>0.6</v>
      </c>
      <c r="D10" s="2">
        <v>0.5</v>
      </c>
      <c r="E10" s="2">
        <v>0.3</v>
      </c>
    </row>
    <row r="11" spans="1:5" x14ac:dyDescent="0.25">
      <c r="A11" s="1" t="s">
        <v>8</v>
      </c>
      <c r="B11" s="2">
        <v>1</v>
      </c>
      <c r="C11" s="2">
        <v>0.6</v>
      </c>
      <c r="D11" s="2">
        <v>0.5</v>
      </c>
      <c r="E11" s="2">
        <v>0.3</v>
      </c>
    </row>
    <row r="12" spans="1:5" x14ac:dyDescent="0.25">
      <c r="A12" s="1" t="s">
        <v>9</v>
      </c>
      <c r="B12" s="2">
        <v>1</v>
      </c>
      <c r="C12" s="2">
        <v>0.5</v>
      </c>
      <c r="D12" s="2">
        <v>0.4</v>
      </c>
      <c r="E12" s="2">
        <v>0.2</v>
      </c>
    </row>
    <row r="13" spans="1:5" x14ac:dyDescent="0.25">
      <c r="A13" s="1" t="s">
        <v>10</v>
      </c>
      <c r="B13" s="2">
        <v>1</v>
      </c>
      <c r="C13" s="2">
        <v>0.8</v>
      </c>
      <c r="D13" s="2">
        <v>0.7</v>
      </c>
      <c r="E13" s="2">
        <v>0.6</v>
      </c>
    </row>
    <row r="14" spans="1:5" x14ac:dyDescent="0.25">
      <c r="A14" s="1" t="s">
        <v>11</v>
      </c>
      <c r="B14" s="2">
        <v>1</v>
      </c>
      <c r="C14" s="2">
        <v>0.8</v>
      </c>
      <c r="D14" s="2">
        <v>0.7</v>
      </c>
      <c r="E14" s="2">
        <v>0.6</v>
      </c>
    </row>
    <row r="15" spans="1:5" x14ac:dyDescent="0.25">
      <c r="A15" s="1" t="s">
        <v>12</v>
      </c>
      <c r="B15" s="2">
        <v>1</v>
      </c>
      <c r="C15" s="2">
        <v>0.7</v>
      </c>
      <c r="D15" s="2">
        <v>0.6</v>
      </c>
      <c r="E15" s="2">
        <v>0.5</v>
      </c>
    </row>
    <row r="16" spans="1:5" x14ac:dyDescent="0.25">
      <c r="A16" s="1" t="s">
        <v>13</v>
      </c>
      <c r="B16" s="2">
        <v>1</v>
      </c>
      <c r="C16" s="2">
        <v>0.7</v>
      </c>
      <c r="D16" s="2">
        <v>0.6</v>
      </c>
      <c r="E16" s="2">
        <v>0.5</v>
      </c>
    </row>
    <row r="17" spans="1:5" x14ac:dyDescent="0.25">
      <c r="A17" s="1" t="s">
        <v>14</v>
      </c>
      <c r="B17" s="2">
        <v>1</v>
      </c>
      <c r="C17" s="2">
        <v>0.6</v>
      </c>
      <c r="D17" s="2">
        <v>0.5</v>
      </c>
      <c r="E17" s="2">
        <v>0.4</v>
      </c>
    </row>
    <row r="18" spans="1:5" x14ac:dyDescent="0.25">
      <c r="A18" s="1" t="s">
        <v>15</v>
      </c>
      <c r="B18" s="2">
        <v>1</v>
      </c>
      <c r="C18" s="2">
        <v>0.6</v>
      </c>
      <c r="D18" s="2">
        <v>0.5</v>
      </c>
      <c r="E18" s="2">
        <v>0.4</v>
      </c>
    </row>
    <row r="19" spans="1:5" x14ac:dyDescent="0.25">
      <c r="A19" s="1" t="s">
        <v>16</v>
      </c>
      <c r="B19" s="2">
        <v>1</v>
      </c>
      <c r="C19" s="2">
        <v>0.7</v>
      </c>
      <c r="D19" s="2">
        <v>0.6</v>
      </c>
      <c r="E19" s="2">
        <v>0.5</v>
      </c>
    </row>
    <row r="20" spans="1:5" x14ac:dyDescent="0.25">
      <c r="A20" s="1" t="s">
        <v>17</v>
      </c>
      <c r="B20" s="2">
        <v>1</v>
      </c>
      <c r="C20" s="2">
        <v>0.8</v>
      </c>
      <c r="D20" s="2">
        <v>0.7</v>
      </c>
      <c r="E20" s="2">
        <v>0.6</v>
      </c>
    </row>
    <row r="21" spans="1:5" x14ac:dyDescent="0.25">
      <c r="A21" s="1" t="s">
        <v>18</v>
      </c>
      <c r="B21" s="2">
        <v>1</v>
      </c>
      <c r="C21" s="2">
        <v>0.8</v>
      </c>
      <c r="D21" s="2">
        <v>0.7</v>
      </c>
      <c r="E21" s="2">
        <v>0.6</v>
      </c>
    </row>
    <row r="22" spans="1:5" x14ac:dyDescent="0.25">
      <c r="A22" s="1" t="s">
        <v>19</v>
      </c>
      <c r="B22" s="2">
        <v>1</v>
      </c>
      <c r="C22" s="2">
        <v>0.8</v>
      </c>
      <c r="D22" s="2">
        <v>0.7</v>
      </c>
      <c r="E22" s="2">
        <v>0.6</v>
      </c>
    </row>
    <row r="23" spans="1:5" x14ac:dyDescent="0.25">
      <c r="A23" s="1" t="s">
        <v>20</v>
      </c>
      <c r="B23" s="2">
        <v>1</v>
      </c>
      <c r="C23" s="2">
        <v>0.7</v>
      </c>
      <c r="D23" s="2">
        <v>0.6</v>
      </c>
      <c r="E23" s="2">
        <v>0.5</v>
      </c>
    </row>
    <row r="24" spans="1:5" x14ac:dyDescent="0.25">
      <c r="A24" s="1" t="s">
        <v>21</v>
      </c>
      <c r="B24" s="2">
        <v>1</v>
      </c>
      <c r="C24" s="2">
        <v>0.9</v>
      </c>
      <c r="D24" s="2">
        <v>0.8</v>
      </c>
      <c r="E24" s="2">
        <v>0.7</v>
      </c>
    </row>
    <row r="25" spans="1:5" x14ac:dyDescent="0.25">
      <c r="A25" s="1" t="s">
        <v>22</v>
      </c>
      <c r="B25" s="2">
        <v>1</v>
      </c>
      <c r="C25" s="2">
        <v>0.9</v>
      </c>
      <c r="D25" s="2">
        <v>0.8</v>
      </c>
      <c r="E25" s="2">
        <v>0.7</v>
      </c>
    </row>
    <row r="26" spans="1:5" x14ac:dyDescent="0.25">
      <c r="A26" s="1" t="s">
        <v>23</v>
      </c>
      <c r="B26" s="2">
        <v>1</v>
      </c>
      <c r="C26" s="2">
        <v>0.6</v>
      </c>
      <c r="D26" s="2">
        <v>0.5</v>
      </c>
      <c r="E26" s="2">
        <v>0.4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B2" sqref="B2:F2"/>
    </sheetView>
  </sheetViews>
  <sheetFormatPr defaultRowHeight="15" x14ac:dyDescent="0.25"/>
  <cols>
    <col min="1" max="1" width="19.28515625" bestFit="1" customWidth="1"/>
    <col min="2" max="2" width="5.7109375" bestFit="1" customWidth="1"/>
    <col min="3" max="3" width="10.28515625" bestFit="1" customWidth="1"/>
    <col min="4" max="6" width="11.28515625" bestFit="1" customWidth="1"/>
  </cols>
  <sheetData>
    <row r="1" spans="1:6" x14ac:dyDescent="0.25">
      <c r="A1" s="49" t="s">
        <v>24</v>
      </c>
      <c r="B1" s="48" t="s">
        <v>29</v>
      </c>
      <c r="C1" s="48"/>
      <c r="D1" s="48"/>
      <c r="E1" s="48"/>
      <c r="F1" s="48"/>
    </row>
    <row r="2" spans="1:6" x14ac:dyDescent="0.25">
      <c r="A2" s="49"/>
      <c r="B2" s="3" t="s">
        <v>84</v>
      </c>
      <c r="C2" s="3" t="s">
        <v>133</v>
      </c>
      <c r="D2" s="3" t="s">
        <v>134</v>
      </c>
      <c r="E2" s="3" t="s">
        <v>135</v>
      </c>
      <c r="F2" s="3" t="s">
        <v>136</v>
      </c>
    </row>
    <row r="3" spans="1:6" x14ac:dyDescent="0.25">
      <c r="A3" s="1" t="s">
        <v>0</v>
      </c>
      <c r="B3" s="2">
        <v>1</v>
      </c>
      <c r="C3" s="2">
        <v>1</v>
      </c>
      <c r="D3" s="2">
        <v>1</v>
      </c>
      <c r="E3" s="2">
        <v>0.9</v>
      </c>
      <c r="F3" s="2">
        <v>0.8</v>
      </c>
    </row>
    <row r="4" spans="1:6" x14ac:dyDescent="0.25">
      <c r="A4" s="1" t="s">
        <v>1</v>
      </c>
      <c r="B4" s="2">
        <v>1</v>
      </c>
      <c r="C4" s="2">
        <v>1</v>
      </c>
      <c r="D4" s="2">
        <v>0.9</v>
      </c>
      <c r="E4" s="2">
        <v>0.8</v>
      </c>
      <c r="F4" s="2">
        <v>0.7</v>
      </c>
    </row>
    <row r="5" spans="1:6" x14ac:dyDescent="0.25">
      <c r="A5" s="1" t="s">
        <v>2</v>
      </c>
      <c r="B5" s="2">
        <v>1</v>
      </c>
      <c r="C5" s="2">
        <v>1</v>
      </c>
      <c r="D5" s="2">
        <v>0.9</v>
      </c>
      <c r="E5" s="2">
        <v>0.8</v>
      </c>
      <c r="F5" s="2">
        <v>0.7</v>
      </c>
    </row>
    <row r="6" spans="1:6" x14ac:dyDescent="0.25">
      <c r="A6" s="1" t="s">
        <v>3</v>
      </c>
      <c r="B6" s="2">
        <v>1</v>
      </c>
      <c r="C6" s="2">
        <v>1</v>
      </c>
      <c r="D6" s="2">
        <v>0.9</v>
      </c>
      <c r="E6" s="2">
        <v>0.8</v>
      </c>
      <c r="F6" s="2">
        <v>0.6</v>
      </c>
    </row>
    <row r="7" spans="1:6" x14ac:dyDescent="0.25">
      <c r="A7" s="1" t="s">
        <v>4</v>
      </c>
      <c r="B7" s="2">
        <v>1</v>
      </c>
      <c r="C7" s="2">
        <v>1</v>
      </c>
      <c r="D7" s="2">
        <v>1</v>
      </c>
      <c r="E7" s="2">
        <v>0.9</v>
      </c>
      <c r="F7" s="2">
        <v>0.8</v>
      </c>
    </row>
    <row r="8" spans="1:6" x14ac:dyDescent="0.25">
      <c r="A8" s="1" t="s">
        <v>5</v>
      </c>
      <c r="B8" s="2">
        <v>1</v>
      </c>
      <c r="C8" s="2">
        <v>1</v>
      </c>
      <c r="D8" s="2">
        <v>0.9</v>
      </c>
      <c r="E8" s="2">
        <v>0.8</v>
      </c>
      <c r="F8" s="2">
        <v>0.7</v>
      </c>
    </row>
    <row r="9" spans="1:6" x14ac:dyDescent="0.25">
      <c r="A9" s="1" t="s">
        <v>6</v>
      </c>
      <c r="B9" s="2">
        <v>1</v>
      </c>
      <c r="C9" s="2">
        <v>1</v>
      </c>
      <c r="D9" s="2">
        <v>0.9</v>
      </c>
      <c r="E9" s="2">
        <v>0.7</v>
      </c>
      <c r="F9" s="2">
        <v>0.4</v>
      </c>
    </row>
    <row r="10" spans="1:6" x14ac:dyDescent="0.25">
      <c r="A10" s="1" t="s">
        <v>7</v>
      </c>
      <c r="B10" s="2">
        <v>1</v>
      </c>
      <c r="C10" s="2">
        <v>1</v>
      </c>
      <c r="D10" s="2">
        <v>0.8</v>
      </c>
      <c r="E10" s="2">
        <v>0.6</v>
      </c>
      <c r="F10" s="2">
        <v>0.3</v>
      </c>
    </row>
    <row r="11" spans="1:6" x14ac:dyDescent="0.25">
      <c r="A11" s="1" t="s">
        <v>8</v>
      </c>
      <c r="B11" s="2">
        <v>1</v>
      </c>
      <c r="C11" s="2">
        <v>1</v>
      </c>
      <c r="D11" s="2">
        <v>0.9</v>
      </c>
      <c r="E11" s="2">
        <v>0.8</v>
      </c>
      <c r="F11" s="2">
        <v>0.7</v>
      </c>
    </row>
    <row r="12" spans="1:6" x14ac:dyDescent="0.25">
      <c r="A12" s="1" t="s">
        <v>9</v>
      </c>
      <c r="B12" s="2">
        <v>1</v>
      </c>
      <c r="C12" s="2">
        <v>0.9</v>
      </c>
      <c r="D12" s="2">
        <v>0.8</v>
      </c>
      <c r="E12" s="2">
        <v>0.6</v>
      </c>
      <c r="F12" s="2">
        <v>0.5</v>
      </c>
    </row>
    <row r="13" spans="1:6" x14ac:dyDescent="0.25">
      <c r="A13" s="1" t="s">
        <v>10</v>
      </c>
      <c r="B13" s="2">
        <v>1</v>
      </c>
      <c r="C13" s="2">
        <v>1</v>
      </c>
      <c r="D13" s="2">
        <v>0.9</v>
      </c>
      <c r="E13" s="2">
        <v>0.8</v>
      </c>
      <c r="F13" s="2">
        <v>0.6</v>
      </c>
    </row>
    <row r="14" spans="1:6" x14ac:dyDescent="0.25">
      <c r="A14" s="1" t="s">
        <v>11</v>
      </c>
      <c r="B14" s="2">
        <v>1</v>
      </c>
      <c r="C14" s="2">
        <v>1</v>
      </c>
      <c r="D14" s="2">
        <v>0.9</v>
      </c>
      <c r="E14" s="2">
        <v>0.8</v>
      </c>
      <c r="F14" s="2">
        <v>0.6</v>
      </c>
    </row>
    <row r="15" spans="1:6" x14ac:dyDescent="0.25">
      <c r="A15" s="1" t="s">
        <v>12</v>
      </c>
      <c r="B15" s="2">
        <v>1</v>
      </c>
      <c r="C15" s="2">
        <v>0.9</v>
      </c>
      <c r="D15" s="2">
        <v>0.8</v>
      </c>
      <c r="E15" s="2">
        <v>0.7</v>
      </c>
      <c r="F15" s="2">
        <v>0.4</v>
      </c>
    </row>
    <row r="16" spans="1:6" x14ac:dyDescent="0.25">
      <c r="A16" s="1" t="s">
        <v>13</v>
      </c>
      <c r="B16" s="2">
        <v>1</v>
      </c>
      <c r="C16" s="2">
        <v>0.9</v>
      </c>
      <c r="D16" s="2">
        <v>0.8</v>
      </c>
      <c r="E16" s="2">
        <v>0.6</v>
      </c>
      <c r="F16" s="2">
        <v>0.3</v>
      </c>
    </row>
    <row r="17" spans="1:6" x14ac:dyDescent="0.25">
      <c r="A17" s="1" t="s">
        <v>14</v>
      </c>
      <c r="B17" s="2">
        <v>1</v>
      </c>
      <c r="C17" s="2">
        <v>0.9</v>
      </c>
      <c r="D17" s="2">
        <v>0.7</v>
      </c>
      <c r="E17" s="2">
        <v>0.5</v>
      </c>
      <c r="F17" s="2">
        <v>0.2</v>
      </c>
    </row>
    <row r="18" spans="1:6" x14ac:dyDescent="0.25">
      <c r="A18" s="1" t="s">
        <v>15</v>
      </c>
      <c r="B18" s="2">
        <v>1</v>
      </c>
      <c r="C18" s="2">
        <v>0.9</v>
      </c>
      <c r="D18" s="2">
        <v>0.7</v>
      </c>
      <c r="E18" s="2">
        <v>0.5</v>
      </c>
      <c r="F18" s="2">
        <v>0.2</v>
      </c>
    </row>
    <row r="19" spans="1:6" x14ac:dyDescent="0.25">
      <c r="A19" s="1" t="s">
        <v>16</v>
      </c>
      <c r="B19" s="2">
        <v>1</v>
      </c>
      <c r="C19" s="2">
        <v>0.9</v>
      </c>
      <c r="D19" s="2">
        <v>0.8</v>
      </c>
      <c r="E19" s="2">
        <v>0.7</v>
      </c>
      <c r="F19" s="2">
        <v>0.4</v>
      </c>
    </row>
    <row r="20" spans="1:6" x14ac:dyDescent="0.25">
      <c r="A20" s="1" t="s">
        <v>17</v>
      </c>
      <c r="B20" s="2">
        <v>1</v>
      </c>
      <c r="C20" s="2">
        <v>1</v>
      </c>
      <c r="D20" s="2">
        <v>0.9</v>
      </c>
      <c r="E20" s="2">
        <v>0.8</v>
      </c>
      <c r="F20" s="2">
        <v>0.5</v>
      </c>
    </row>
    <row r="21" spans="1:6" x14ac:dyDescent="0.25">
      <c r="A21" s="1" t="s">
        <v>18</v>
      </c>
      <c r="B21" s="2">
        <v>1</v>
      </c>
      <c r="C21" s="2">
        <v>1</v>
      </c>
      <c r="D21" s="2">
        <v>0.9</v>
      </c>
      <c r="E21" s="2">
        <v>0.8</v>
      </c>
      <c r="F21" s="2">
        <v>0.6</v>
      </c>
    </row>
    <row r="22" spans="1:6" x14ac:dyDescent="0.25">
      <c r="A22" s="1" t="s">
        <v>19</v>
      </c>
      <c r="B22" s="2">
        <v>1</v>
      </c>
      <c r="C22" s="2">
        <v>1</v>
      </c>
      <c r="D22" s="2">
        <v>0.9</v>
      </c>
      <c r="E22" s="2">
        <v>0.8</v>
      </c>
      <c r="F22" s="2">
        <v>0.6</v>
      </c>
    </row>
    <row r="23" spans="1:6" x14ac:dyDescent="0.25">
      <c r="A23" s="1" t="s">
        <v>20</v>
      </c>
      <c r="B23" s="2">
        <v>1</v>
      </c>
      <c r="C23" s="2">
        <v>1</v>
      </c>
      <c r="D23" s="2">
        <v>0.9</v>
      </c>
      <c r="E23" s="2">
        <v>0.8</v>
      </c>
      <c r="F23" s="2">
        <v>0.6</v>
      </c>
    </row>
    <row r="24" spans="1:6" x14ac:dyDescent="0.25">
      <c r="A24" s="1" t="s">
        <v>21</v>
      </c>
      <c r="B24" s="2">
        <v>1</v>
      </c>
      <c r="C24" s="2">
        <v>1</v>
      </c>
      <c r="D24" s="2">
        <v>0.9</v>
      </c>
      <c r="E24" s="2">
        <v>0.8</v>
      </c>
      <c r="F24" s="2">
        <v>0.7</v>
      </c>
    </row>
    <row r="25" spans="1:6" x14ac:dyDescent="0.25">
      <c r="A25" s="1" t="s">
        <v>22</v>
      </c>
      <c r="B25" s="2">
        <v>1</v>
      </c>
      <c r="C25" s="2">
        <v>1</v>
      </c>
      <c r="D25" s="2">
        <v>0.9</v>
      </c>
      <c r="E25" s="2">
        <v>0.8</v>
      </c>
      <c r="F25" s="2">
        <v>0.7</v>
      </c>
    </row>
    <row r="26" spans="1:6" x14ac:dyDescent="0.25">
      <c r="A26" s="1" t="s">
        <v>23</v>
      </c>
      <c r="B26" s="2">
        <v>1</v>
      </c>
      <c r="C26" s="2">
        <v>0.9</v>
      </c>
      <c r="D26" s="2">
        <v>0.7</v>
      </c>
      <c r="E26" s="2">
        <v>0.5</v>
      </c>
      <c r="F26" s="2">
        <v>0.3</v>
      </c>
    </row>
  </sheetData>
  <mergeCells count="2">
    <mergeCell ref="A1:A2"/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6"/>
  <sheetViews>
    <sheetView tabSelected="1" zoomScale="80" zoomScaleNormal="80" workbookViewId="0">
      <selection activeCell="AE37" sqref="AE37"/>
    </sheetView>
  </sheetViews>
  <sheetFormatPr defaultRowHeight="15" x14ac:dyDescent="0.25"/>
  <cols>
    <col min="1" max="1" width="19.28515625" bestFit="1" customWidth="1"/>
    <col min="16" max="16" width="12.7109375" customWidth="1"/>
    <col min="17" max="17" width="9.140625" customWidth="1"/>
    <col min="38" max="38" width="10.5703125" bestFit="1" customWidth="1"/>
  </cols>
  <sheetData>
    <row r="1" spans="1:38" x14ac:dyDescent="0.25">
      <c r="A1" s="49" t="s">
        <v>24</v>
      </c>
      <c r="B1" s="48" t="s">
        <v>31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P1" s="53" t="s">
        <v>160</v>
      </c>
      <c r="Q1" s="54"/>
      <c r="R1" s="27">
        <v>-3</v>
      </c>
      <c r="S1" s="27">
        <v>-1</v>
      </c>
      <c r="T1" s="27">
        <v>1</v>
      </c>
      <c r="U1" s="27">
        <v>3</v>
      </c>
      <c r="V1" s="27">
        <v>4.5</v>
      </c>
      <c r="W1" s="27">
        <v>5.5</v>
      </c>
      <c r="X1" s="27">
        <v>6.5</v>
      </c>
      <c r="Y1" s="27">
        <v>7.5</v>
      </c>
      <c r="Z1" s="27">
        <v>8.5</v>
      </c>
      <c r="AA1" s="27">
        <v>9.5</v>
      </c>
      <c r="AB1" s="27">
        <v>10.5</v>
      </c>
      <c r="AC1" s="28">
        <v>11.5</v>
      </c>
      <c r="AE1" s="8"/>
      <c r="AF1" s="8"/>
      <c r="AG1" s="8"/>
      <c r="AH1" s="8"/>
      <c r="AI1" s="8"/>
      <c r="AJ1" s="8"/>
      <c r="AK1" s="8"/>
      <c r="AL1" s="43"/>
    </row>
    <row r="2" spans="1:38" x14ac:dyDescent="0.25">
      <c r="A2" s="49"/>
      <c r="B2" s="1">
        <v>-3</v>
      </c>
      <c r="C2" s="1">
        <v>-1</v>
      </c>
      <c r="D2" s="1">
        <v>1</v>
      </c>
      <c r="E2" s="1">
        <v>3</v>
      </c>
      <c r="F2" s="1">
        <v>4.5</v>
      </c>
      <c r="G2" s="1">
        <v>5.5</v>
      </c>
      <c r="H2" s="1">
        <v>6.5</v>
      </c>
      <c r="I2" s="1">
        <v>7.5</v>
      </c>
      <c r="J2" s="1">
        <v>8.5</v>
      </c>
      <c r="K2" s="1">
        <v>9.5</v>
      </c>
      <c r="L2" s="1">
        <v>10.5</v>
      </c>
      <c r="M2" s="1">
        <v>11.5</v>
      </c>
      <c r="N2" s="1">
        <v>12.5</v>
      </c>
      <c r="P2" s="22" t="s">
        <v>134</v>
      </c>
      <c r="Q2" s="36" t="s">
        <v>156</v>
      </c>
      <c r="R2" s="25">
        <v>-3</v>
      </c>
      <c r="S2" s="25">
        <v>-1</v>
      </c>
      <c r="T2" s="25">
        <v>1</v>
      </c>
      <c r="U2" s="25">
        <v>3</v>
      </c>
      <c r="V2" s="25">
        <v>4.5</v>
      </c>
      <c r="W2" s="25">
        <v>5.5</v>
      </c>
      <c r="X2" s="25">
        <v>6.5</v>
      </c>
      <c r="Y2" s="25">
        <v>7.5</v>
      </c>
      <c r="Z2" s="25">
        <v>8.5</v>
      </c>
      <c r="AA2" s="25">
        <v>9.5</v>
      </c>
      <c r="AB2" s="25">
        <v>10.5</v>
      </c>
      <c r="AC2" s="26">
        <v>11.5</v>
      </c>
      <c r="AE2" s="8"/>
      <c r="AF2" s="8"/>
      <c r="AG2" s="8"/>
      <c r="AH2" s="8"/>
      <c r="AI2" s="8"/>
      <c r="AJ2" s="8"/>
      <c r="AK2" s="8"/>
      <c r="AL2" s="43"/>
    </row>
    <row r="3" spans="1:38" x14ac:dyDescent="0.25">
      <c r="A3" s="1" t="s">
        <v>0</v>
      </c>
      <c r="B3">
        <v>0.3</v>
      </c>
      <c r="C3">
        <v>0.5</v>
      </c>
      <c r="D3">
        <v>0.6</v>
      </c>
      <c r="E3">
        <v>0.8</v>
      </c>
      <c r="F3">
        <v>0.9</v>
      </c>
      <c r="G3">
        <v>0.9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0.9</v>
      </c>
      <c r="P3" s="13"/>
      <c r="Q3" s="37" t="s">
        <v>157</v>
      </c>
      <c r="R3" s="8">
        <v>-3</v>
      </c>
      <c r="S3" s="8">
        <v>-1</v>
      </c>
      <c r="T3" s="8">
        <v>1</v>
      </c>
      <c r="U3" s="8">
        <v>3</v>
      </c>
      <c r="V3" s="8">
        <v>4.5</v>
      </c>
      <c r="W3" s="8">
        <v>5.5</v>
      </c>
      <c r="X3" s="8">
        <v>6.5</v>
      </c>
      <c r="Y3" s="8">
        <v>7.5</v>
      </c>
      <c r="Z3" s="8">
        <v>8.5</v>
      </c>
      <c r="AA3" s="8">
        <v>9.5</v>
      </c>
      <c r="AB3" s="8">
        <v>10.5</v>
      </c>
      <c r="AC3" s="9">
        <v>11.5</v>
      </c>
      <c r="AE3" s="8"/>
      <c r="AF3" s="8"/>
      <c r="AG3" s="8"/>
      <c r="AH3" s="8"/>
      <c r="AI3" s="8"/>
      <c r="AJ3" s="8"/>
      <c r="AK3" s="8"/>
      <c r="AL3" s="8"/>
    </row>
    <row r="4" spans="1:38" x14ac:dyDescent="0.25">
      <c r="A4" s="1" t="s">
        <v>1</v>
      </c>
      <c r="B4">
        <v>0.2</v>
      </c>
      <c r="C4">
        <v>0.3</v>
      </c>
      <c r="D4">
        <v>0.4</v>
      </c>
      <c r="E4">
        <v>0.6</v>
      </c>
      <c r="F4">
        <v>0.8</v>
      </c>
      <c r="G4">
        <v>0.9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0.9</v>
      </c>
      <c r="P4" s="13"/>
      <c r="Q4" s="37" t="s">
        <v>158</v>
      </c>
      <c r="R4" s="8">
        <v>-3</v>
      </c>
      <c r="S4" s="8">
        <v>-1</v>
      </c>
      <c r="T4" s="8">
        <v>1</v>
      </c>
      <c r="U4" s="8">
        <v>3</v>
      </c>
      <c r="V4" s="8">
        <v>4.5</v>
      </c>
      <c r="W4" s="8">
        <v>5.5</v>
      </c>
      <c r="X4" s="8">
        <v>6.5</v>
      </c>
      <c r="Y4" s="8">
        <v>7.5</v>
      </c>
      <c r="Z4" s="8">
        <v>8.5</v>
      </c>
      <c r="AA4" s="8">
        <v>10.5</v>
      </c>
      <c r="AB4" s="8">
        <v>11.5</v>
      </c>
      <c r="AC4" s="9">
        <v>12.5</v>
      </c>
      <c r="AE4" s="8"/>
      <c r="AF4" s="8"/>
      <c r="AG4" s="8"/>
      <c r="AH4" s="8"/>
      <c r="AI4" s="8"/>
      <c r="AJ4" s="8"/>
      <c r="AK4" s="8"/>
      <c r="AL4" s="8"/>
    </row>
    <row r="5" spans="1:38" x14ac:dyDescent="0.25">
      <c r="A5" s="1" t="s">
        <v>2</v>
      </c>
      <c r="B5">
        <v>0</v>
      </c>
      <c r="C5">
        <v>0</v>
      </c>
      <c r="D5">
        <v>0</v>
      </c>
      <c r="E5">
        <v>0.2</v>
      </c>
      <c r="F5">
        <v>0.3</v>
      </c>
      <c r="G5">
        <v>0.5</v>
      </c>
      <c r="H5">
        <v>0.6</v>
      </c>
      <c r="I5">
        <v>0.9</v>
      </c>
      <c r="J5">
        <v>0.9</v>
      </c>
      <c r="K5">
        <v>1</v>
      </c>
      <c r="L5">
        <v>1</v>
      </c>
      <c r="M5">
        <v>0.9</v>
      </c>
      <c r="N5">
        <v>0.8</v>
      </c>
      <c r="P5" s="13"/>
      <c r="Q5" s="37" t="s">
        <v>159</v>
      </c>
      <c r="R5" s="8">
        <v>-3</v>
      </c>
      <c r="S5" s="8">
        <v>-1</v>
      </c>
      <c r="T5" s="8">
        <v>1</v>
      </c>
      <c r="U5" s="8">
        <v>3</v>
      </c>
      <c r="V5" s="8">
        <v>4.5</v>
      </c>
      <c r="W5" s="8">
        <v>5.5</v>
      </c>
      <c r="X5" s="8">
        <v>6.5</v>
      </c>
      <c r="Y5" s="8">
        <v>7.5</v>
      </c>
      <c r="Z5" s="8">
        <v>8.5</v>
      </c>
      <c r="AA5" s="8">
        <v>9.5</v>
      </c>
      <c r="AB5" s="8">
        <v>10.5</v>
      </c>
      <c r="AC5" s="9">
        <v>11.5</v>
      </c>
      <c r="AE5" s="8"/>
      <c r="AF5" s="8"/>
      <c r="AG5" s="8"/>
      <c r="AH5" s="8"/>
      <c r="AI5" s="8"/>
      <c r="AJ5" s="8"/>
      <c r="AK5" s="8"/>
      <c r="AL5" s="8"/>
    </row>
    <row r="6" spans="1:38" x14ac:dyDescent="0.25">
      <c r="A6" s="1" t="s">
        <v>3</v>
      </c>
      <c r="B6">
        <v>0</v>
      </c>
      <c r="C6">
        <v>0</v>
      </c>
      <c r="D6">
        <v>0</v>
      </c>
      <c r="E6">
        <v>0</v>
      </c>
      <c r="F6">
        <v>0.1</v>
      </c>
      <c r="G6">
        <v>0.3</v>
      </c>
      <c r="H6">
        <v>0.5</v>
      </c>
      <c r="I6">
        <v>0.8</v>
      </c>
      <c r="J6">
        <v>0.9</v>
      </c>
      <c r="K6">
        <v>1</v>
      </c>
      <c r="L6">
        <v>1</v>
      </c>
      <c r="M6">
        <v>0.8</v>
      </c>
      <c r="N6">
        <v>0.7</v>
      </c>
      <c r="P6" s="22" t="s">
        <v>135</v>
      </c>
      <c r="Q6" s="36" t="s">
        <v>156</v>
      </c>
      <c r="R6" s="25">
        <v>-3</v>
      </c>
      <c r="S6" s="25">
        <v>-1</v>
      </c>
      <c r="T6" s="25">
        <v>1</v>
      </c>
      <c r="U6" s="25">
        <v>3</v>
      </c>
      <c r="V6" s="25">
        <v>4.5</v>
      </c>
      <c r="W6" s="25">
        <v>5.5</v>
      </c>
      <c r="X6" s="25">
        <v>6.5</v>
      </c>
      <c r="Y6" s="25">
        <v>6.5</v>
      </c>
      <c r="Z6" s="25">
        <v>7.5</v>
      </c>
      <c r="AA6" s="25">
        <v>8.5</v>
      </c>
      <c r="AB6" s="25">
        <v>9.5</v>
      </c>
      <c r="AC6" s="26">
        <v>10.5</v>
      </c>
      <c r="AE6" s="8"/>
      <c r="AF6" s="8"/>
      <c r="AG6" s="8"/>
      <c r="AH6" s="8"/>
      <c r="AI6" s="8"/>
      <c r="AJ6" s="8"/>
      <c r="AK6" s="8"/>
      <c r="AL6" s="8"/>
    </row>
    <row r="7" spans="1:38" x14ac:dyDescent="0.25">
      <c r="A7" s="1" t="s">
        <v>4</v>
      </c>
      <c r="B7">
        <v>0</v>
      </c>
      <c r="C7">
        <v>0</v>
      </c>
      <c r="D7">
        <v>0</v>
      </c>
      <c r="E7">
        <v>0</v>
      </c>
      <c r="F7">
        <v>0.1</v>
      </c>
      <c r="G7">
        <v>0.3</v>
      </c>
      <c r="H7">
        <v>0.5</v>
      </c>
      <c r="I7">
        <v>0.8</v>
      </c>
      <c r="J7">
        <v>0.9</v>
      </c>
      <c r="K7">
        <v>1</v>
      </c>
      <c r="L7">
        <v>1</v>
      </c>
      <c r="M7">
        <v>0.8</v>
      </c>
      <c r="N7">
        <v>0.7</v>
      </c>
      <c r="P7" s="13"/>
      <c r="Q7" s="37" t="s">
        <v>157</v>
      </c>
      <c r="R7" s="8">
        <v>-3</v>
      </c>
      <c r="S7" s="8">
        <v>-1</v>
      </c>
      <c r="T7" s="8">
        <v>1</v>
      </c>
      <c r="U7" s="8">
        <v>3</v>
      </c>
      <c r="V7" s="8">
        <v>4.5</v>
      </c>
      <c r="W7" s="8">
        <v>5.5</v>
      </c>
      <c r="X7" s="8">
        <v>6.5</v>
      </c>
      <c r="Y7" s="8">
        <v>7.5</v>
      </c>
      <c r="Z7" s="8">
        <v>8.5</v>
      </c>
      <c r="AA7" s="8">
        <v>9.5</v>
      </c>
      <c r="AB7" s="8">
        <v>10.5</v>
      </c>
      <c r="AC7" s="9">
        <v>11.5</v>
      </c>
      <c r="AE7" s="8"/>
      <c r="AF7" s="8"/>
      <c r="AG7" s="8"/>
      <c r="AH7" s="8"/>
      <c r="AI7" s="8"/>
      <c r="AJ7" s="8"/>
      <c r="AK7" s="8"/>
      <c r="AL7" s="43"/>
    </row>
    <row r="8" spans="1:38" x14ac:dyDescent="0.25">
      <c r="A8" s="1" t="s">
        <v>5</v>
      </c>
      <c r="B8">
        <v>0</v>
      </c>
      <c r="C8">
        <v>0</v>
      </c>
      <c r="D8">
        <v>0</v>
      </c>
      <c r="E8">
        <v>0</v>
      </c>
      <c r="F8">
        <v>0.1</v>
      </c>
      <c r="G8">
        <v>0.3</v>
      </c>
      <c r="H8">
        <v>0.5</v>
      </c>
      <c r="I8">
        <v>0.8</v>
      </c>
      <c r="J8">
        <v>1</v>
      </c>
      <c r="K8">
        <v>1</v>
      </c>
      <c r="L8">
        <v>1</v>
      </c>
      <c r="M8">
        <v>0.9</v>
      </c>
      <c r="N8">
        <v>0.8</v>
      </c>
      <c r="P8" s="29"/>
      <c r="Q8" s="37" t="s">
        <v>158</v>
      </c>
      <c r="R8" s="8">
        <v>-3</v>
      </c>
      <c r="S8" s="8">
        <v>-1</v>
      </c>
      <c r="T8" s="8">
        <v>1</v>
      </c>
      <c r="U8" s="8">
        <v>3</v>
      </c>
      <c r="V8" s="8">
        <v>4.5</v>
      </c>
      <c r="W8" s="8">
        <v>6.5</v>
      </c>
      <c r="X8" s="8">
        <v>7.5</v>
      </c>
      <c r="Y8" s="8">
        <v>8.5</v>
      </c>
      <c r="Z8" s="8">
        <v>9.5</v>
      </c>
      <c r="AA8" s="8">
        <v>10.5</v>
      </c>
      <c r="AB8" s="8">
        <v>11.5</v>
      </c>
      <c r="AC8" s="9">
        <v>12.5</v>
      </c>
      <c r="AE8" s="8"/>
      <c r="AF8" s="8"/>
      <c r="AG8" s="8"/>
      <c r="AH8" s="8"/>
      <c r="AI8" s="8"/>
      <c r="AJ8" s="8"/>
      <c r="AK8" s="8"/>
      <c r="AL8" s="43"/>
    </row>
    <row r="9" spans="1:38" x14ac:dyDescent="0.25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0.4</v>
      </c>
      <c r="J9">
        <v>0.7</v>
      </c>
      <c r="K9">
        <v>1</v>
      </c>
      <c r="L9">
        <v>1</v>
      </c>
      <c r="M9">
        <v>1</v>
      </c>
      <c r="N9">
        <v>1</v>
      </c>
      <c r="P9" s="14"/>
      <c r="Q9" s="38" t="s">
        <v>159</v>
      </c>
      <c r="R9" s="11">
        <v>-3</v>
      </c>
      <c r="S9" s="11">
        <v>-1</v>
      </c>
      <c r="T9" s="11">
        <v>1</v>
      </c>
      <c r="U9" s="11">
        <v>3</v>
      </c>
      <c r="V9" s="11">
        <v>4.5</v>
      </c>
      <c r="W9" s="11">
        <v>5.5</v>
      </c>
      <c r="X9" s="11">
        <v>6.5</v>
      </c>
      <c r="Y9" s="11">
        <v>7.5</v>
      </c>
      <c r="Z9" s="11">
        <v>9.5</v>
      </c>
      <c r="AA9" s="11">
        <v>10.5</v>
      </c>
      <c r="AB9" s="11">
        <v>11.5</v>
      </c>
      <c r="AC9" s="12">
        <v>12.5</v>
      </c>
      <c r="AE9" s="8"/>
      <c r="AF9" s="8"/>
      <c r="AG9" s="8"/>
      <c r="AH9" s="8"/>
      <c r="AI9" s="8"/>
      <c r="AJ9" s="8"/>
      <c r="AK9" s="8"/>
      <c r="AL9" s="8"/>
    </row>
    <row r="10" spans="1:38" x14ac:dyDescent="0.25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0.1</v>
      </c>
      <c r="H10">
        <v>0.2</v>
      </c>
      <c r="I10">
        <v>0.4</v>
      </c>
      <c r="J10">
        <v>0.6</v>
      </c>
      <c r="K10">
        <v>0.9</v>
      </c>
      <c r="L10">
        <v>1</v>
      </c>
      <c r="M10">
        <v>1</v>
      </c>
      <c r="N10">
        <v>1</v>
      </c>
      <c r="P10" s="29" t="s">
        <v>136</v>
      </c>
      <c r="Q10" s="37" t="s">
        <v>156</v>
      </c>
      <c r="R10" s="8">
        <v>-3</v>
      </c>
      <c r="S10" s="8">
        <v>-3</v>
      </c>
      <c r="T10" s="8">
        <v>-1</v>
      </c>
      <c r="U10" s="8">
        <v>1</v>
      </c>
      <c r="V10" s="8">
        <v>3</v>
      </c>
      <c r="W10" s="8">
        <v>4.5</v>
      </c>
      <c r="X10" s="8">
        <v>5.5</v>
      </c>
      <c r="Y10" s="8">
        <v>6.5</v>
      </c>
      <c r="Z10" s="8">
        <v>7.5</v>
      </c>
      <c r="AA10" s="30">
        <v>8.5</v>
      </c>
      <c r="AB10" s="8">
        <v>9.5</v>
      </c>
      <c r="AC10" s="9">
        <v>10.5</v>
      </c>
      <c r="AE10" s="8"/>
      <c r="AF10" s="8"/>
      <c r="AG10" s="8"/>
      <c r="AH10" s="8"/>
      <c r="AI10" s="8"/>
      <c r="AJ10" s="8"/>
      <c r="AK10" s="8"/>
      <c r="AL10" s="8"/>
    </row>
    <row r="11" spans="1:38" x14ac:dyDescent="0.25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0.1</v>
      </c>
      <c r="I11">
        <v>0.2</v>
      </c>
      <c r="J11">
        <v>0.8</v>
      </c>
      <c r="K11">
        <v>1</v>
      </c>
      <c r="L11">
        <v>1</v>
      </c>
      <c r="M11">
        <v>1</v>
      </c>
      <c r="N11">
        <v>0.9</v>
      </c>
      <c r="P11" s="13"/>
      <c r="Q11" s="3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E11" s="8"/>
      <c r="AF11" s="8"/>
      <c r="AG11" s="8"/>
      <c r="AH11" s="8"/>
      <c r="AI11" s="8"/>
      <c r="AJ11" s="8"/>
      <c r="AK11" s="8"/>
      <c r="AL11" s="8"/>
    </row>
    <row r="12" spans="1:38" x14ac:dyDescent="0.25">
      <c r="A12" s="1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0.1</v>
      </c>
      <c r="I12">
        <v>0.1</v>
      </c>
      <c r="J12">
        <v>0.3</v>
      </c>
      <c r="K12">
        <v>0.8</v>
      </c>
      <c r="L12">
        <v>1</v>
      </c>
      <c r="M12">
        <v>1</v>
      </c>
      <c r="N12">
        <v>1</v>
      </c>
      <c r="P12" s="13"/>
      <c r="Q12" s="3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/>
      <c r="AE12" s="8"/>
      <c r="AF12" s="8"/>
      <c r="AG12" s="8"/>
      <c r="AH12" s="8"/>
      <c r="AI12" s="8"/>
      <c r="AJ12" s="8"/>
      <c r="AK12" s="8"/>
      <c r="AL12" s="43"/>
    </row>
    <row r="13" spans="1:38" x14ac:dyDescent="0.25">
      <c r="A13" s="1" t="s">
        <v>10</v>
      </c>
      <c r="B13">
        <v>0</v>
      </c>
      <c r="C13">
        <v>0</v>
      </c>
      <c r="D13">
        <v>0.1</v>
      </c>
      <c r="E13">
        <v>0.2</v>
      </c>
      <c r="F13">
        <v>0.5</v>
      </c>
      <c r="G13">
        <v>0.7</v>
      </c>
      <c r="H13">
        <v>0.8</v>
      </c>
      <c r="I13">
        <v>0.9</v>
      </c>
      <c r="J13">
        <v>1</v>
      </c>
      <c r="K13">
        <v>1</v>
      </c>
      <c r="L13">
        <v>1</v>
      </c>
      <c r="M13">
        <v>1</v>
      </c>
      <c r="N13">
        <v>0.9</v>
      </c>
      <c r="P13" s="14"/>
      <c r="Q13" s="38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E13" s="8"/>
      <c r="AF13" s="8"/>
      <c r="AG13" s="8"/>
      <c r="AH13" s="8"/>
      <c r="AI13" s="8"/>
      <c r="AJ13" s="8"/>
      <c r="AK13" s="8"/>
      <c r="AL13" s="43"/>
    </row>
    <row r="14" spans="1:38" x14ac:dyDescent="0.25">
      <c r="A14" s="1" t="s">
        <v>11</v>
      </c>
      <c r="B14">
        <v>0</v>
      </c>
      <c r="C14">
        <v>0</v>
      </c>
      <c r="D14">
        <v>0</v>
      </c>
      <c r="E14">
        <v>0.1</v>
      </c>
      <c r="F14">
        <v>0.5</v>
      </c>
      <c r="G14">
        <v>0.7</v>
      </c>
      <c r="H14">
        <v>0.8</v>
      </c>
      <c r="I14">
        <v>0.9</v>
      </c>
      <c r="J14">
        <v>1</v>
      </c>
      <c r="K14">
        <v>1</v>
      </c>
      <c r="L14">
        <v>1</v>
      </c>
      <c r="M14">
        <v>1</v>
      </c>
      <c r="N14">
        <v>1</v>
      </c>
      <c r="AE14" s="8"/>
      <c r="AF14" s="8"/>
      <c r="AG14" s="8"/>
      <c r="AH14" s="8"/>
      <c r="AI14" s="8"/>
      <c r="AJ14" s="8"/>
      <c r="AK14" s="8"/>
      <c r="AL14" s="8"/>
    </row>
    <row r="15" spans="1:38" x14ac:dyDescent="0.25">
      <c r="A15" s="1" t="s">
        <v>12</v>
      </c>
      <c r="B15">
        <v>0</v>
      </c>
      <c r="C15">
        <v>0</v>
      </c>
      <c r="D15">
        <v>0</v>
      </c>
      <c r="E15">
        <v>0.1</v>
      </c>
      <c r="F15">
        <v>0.1</v>
      </c>
      <c r="G15">
        <v>0.3</v>
      </c>
      <c r="H15">
        <v>0.5</v>
      </c>
      <c r="I15">
        <v>0.8</v>
      </c>
      <c r="J15">
        <v>0.9</v>
      </c>
      <c r="K15">
        <v>0.9</v>
      </c>
      <c r="L15">
        <v>1</v>
      </c>
      <c r="M15">
        <v>1</v>
      </c>
      <c r="N15">
        <v>1</v>
      </c>
      <c r="AE15" s="8"/>
      <c r="AF15" s="8"/>
      <c r="AG15" s="8"/>
      <c r="AH15" s="8"/>
      <c r="AI15" s="8"/>
      <c r="AJ15" s="8"/>
      <c r="AK15" s="8"/>
      <c r="AL15" s="8"/>
    </row>
    <row r="16" spans="1:38" x14ac:dyDescent="0.25">
      <c r="A16" s="1" t="s">
        <v>13</v>
      </c>
      <c r="B16">
        <v>0</v>
      </c>
      <c r="C16">
        <v>0</v>
      </c>
      <c r="D16">
        <v>0</v>
      </c>
      <c r="E16">
        <v>0</v>
      </c>
      <c r="F16">
        <v>0.1</v>
      </c>
      <c r="G16">
        <v>0.2</v>
      </c>
      <c r="H16">
        <v>0.3</v>
      </c>
      <c r="I16">
        <v>0.5</v>
      </c>
      <c r="J16">
        <v>0.9</v>
      </c>
      <c r="K16">
        <v>0.9</v>
      </c>
      <c r="L16">
        <v>1</v>
      </c>
      <c r="M16">
        <v>1</v>
      </c>
      <c r="N16">
        <v>1</v>
      </c>
      <c r="AE16" s="8"/>
      <c r="AF16" s="8"/>
      <c r="AG16" s="8"/>
      <c r="AH16" s="8"/>
      <c r="AI16" s="8"/>
      <c r="AJ16" s="8"/>
      <c r="AK16" s="8"/>
      <c r="AL16" s="8"/>
    </row>
    <row r="17" spans="1:38" x14ac:dyDescent="0.25">
      <c r="A17" s="1" t="s">
        <v>14</v>
      </c>
      <c r="B17">
        <v>0</v>
      </c>
      <c r="C17">
        <v>0.1</v>
      </c>
      <c r="D17">
        <v>0.1</v>
      </c>
      <c r="E17">
        <v>0.2</v>
      </c>
      <c r="F17">
        <v>0.6</v>
      </c>
      <c r="G17">
        <v>0.7</v>
      </c>
      <c r="H17">
        <v>0.9</v>
      </c>
      <c r="I17">
        <v>1</v>
      </c>
      <c r="J17">
        <v>1</v>
      </c>
      <c r="K17">
        <v>0.9</v>
      </c>
      <c r="L17">
        <v>0.9</v>
      </c>
      <c r="M17">
        <v>0.8</v>
      </c>
      <c r="N17">
        <v>0.7</v>
      </c>
      <c r="R17">
        <f>ABS(R18-'Date Inițiale'!$B$4)</f>
        <v>13.25</v>
      </c>
      <c r="S17">
        <f>ABS(S18-'Date Inițiale'!$B$4)</f>
        <v>11.25</v>
      </c>
      <c r="T17">
        <f>ABS(T18-'Date Inițiale'!$B$4)</f>
        <v>9.25</v>
      </c>
      <c r="U17">
        <f>ABS(U18-'Date Inițiale'!$B$4)</f>
        <v>7.25</v>
      </c>
      <c r="V17">
        <f>ABS(V18-'Date Inițiale'!$B$4)</f>
        <v>5.75</v>
      </c>
      <c r="W17">
        <f>ABS(W18-'Date Inițiale'!$B$4)</f>
        <v>4.75</v>
      </c>
      <c r="X17">
        <f>ABS(X18-'Date Inițiale'!$B$4)</f>
        <v>3.75</v>
      </c>
      <c r="Y17">
        <f>ABS(Y18-'Date Inițiale'!$B$4)</f>
        <v>2.75</v>
      </c>
      <c r="Z17">
        <f>ABS(Z18-'Date Inițiale'!$B$4)</f>
        <v>1.75</v>
      </c>
      <c r="AA17">
        <f>ABS(AA18-'Date Inițiale'!$B$4)</f>
        <v>0.75</v>
      </c>
      <c r="AB17">
        <f>ABS(AB18-'Date Inițiale'!$B$4)</f>
        <v>0.25</v>
      </c>
      <c r="AC17">
        <f>ABS(AC18-'Date Inițiale'!$B$4)</f>
        <v>1.25</v>
      </c>
      <c r="AE17" s="8"/>
      <c r="AF17" s="8"/>
      <c r="AG17" s="8"/>
      <c r="AH17" s="8"/>
      <c r="AI17" s="8"/>
      <c r="AJ17" s="8"/>
      <c r="AK17" s="8"/>
      <c r="AL17" s="8"/>
    </row>
    <row r="18" spans="1:38" x14ac:dyDescent="0.25">
      <c r="A18" s="1" t="s">
        <v>15</v>
      </c>
      <c r="B18">
        <v>0</v>
      </c>
      <c r="C18">
        <v>0</v>
      </c>
      <c r="D18">
        <v>0</v>
      </c>
      <c r="E18">
        <v>0.1</v>
      </c>
      <c r="F18">
        <v>0.4</v>
      </c>
      <c r="G18">
        <v>0.6</v>
      </c>
      <c r="H18">
        <v>0.8</v>
      </c>
      <c r="I18">
        <v>0.9</v>
      </c>
      <c r="J18">
        <v>1</v>
      </c>
      <c r="K18">
        <v>1</v>
      </c>
      <c r="L18">
        <v>1</v>
      </c>
      <c r="M18">
        <v>0.9</v>
      </c>
      <c r="N18">
        <v>0.8</v>
      </c>
      <c r="P18" s="55" t="s">
        <v>160</v>
      </c>
      <c r="Q18" s="56"/>
      <c r="R18" s="25">
        <v>-3</v>
      </c>
      <c r="S18" s="25">
        <v>-1</v>
      </c>
      <c r="T18" s="25">
        <v>1</v>
      </c>
      <c r="U18" s="25">
        <v>3</v>
      </c>
      <c r="V18" s="25">
        <v>4.5</v>
      </c>
      <c r="W18" s="25">
        <v>5.5</v>
      </c>
      <c r="X18" s="25">
        <v>6.5</v>
      </c>
      <c r="Y18" s="25">
        <v>7.5</v>
      </c>
      <c r="Z18" s="25">
        <v>8.5</v>
      </c>
      <c r="AA18" s="25">
        <v>9.5</v>
      </c>
      <c r="AB18" s="25">
        <v>10.5</v>
      </c>
      <c r="AC18" s="26">
        <v>11.5</v>
      </c>
      <c r="AE18" s="8"/>
      <c r="AF18" s="8"/>
      <c r="AG18" s="8"/>
      <c r="AH18" s="8"/>
      <c r="AI18" s="8"/>
      <c r="AJ18" s="8"/>
      <c r="AK18" s="8"/>
      <c r="AL18" s="43"/>
    </row>
    <row r="19" spans="1:38" x14ac:dyDescent="0.25">
      <c r="A19" s="1" t="s">
        <v>16</v>
      </c>
      <c r="B19">
        <v>0</v>
      </c>
      <c r="C19">
        <v>0</v>
      </c>
      <c r="D19">
        <v>0</v>
      </c>
      <c r="E19">
        <v>0</v>
      </c>
      <c r="F19">
        <v>0.1</v>
      </c>
      <c r="G19">
        <v>0.2</v>
      </c>
      <c r="H19">
        <v>0.4</v>
      </c>
      <c r="I19">
        <v>0.6</v>
      </c>
      <c r="J19">
        <v>0.9</v>
      </c>
      <c r="K19">
        <v>1</v>
      </c>
      <c r="L19">
        <v>1</v>
      </c>
      <c r="M19">
        <v>0.9</v>
      </c>
      <c r="N19">
        <v>0.8</v>
      </c>
      <c r="P19" s="22" t="s">
        <v>134</v>
      </c>
      <c r="Q19" s="36" t="s">
        <v>156</v>
      </c>
      <c r="R19" s="25">
        <f t="shared" ref="R19:R30" si="0">ABS(R2/$R$1)</f>
        <v>1</v>
      </c>
      <c r="S19" s="25">
        <f t="shared" ref="S19:S30" si="1">ABS(S2/$S$1)</f>
        <v>1</v>
      </c>
      <c r="T19" s="25">
        <f t="shared" ref="T19:T30" si="2">ABS(T2/$T$1)</f>
        <v>1</v>
      </c>
      <c r="U19" s="25">
        <f t="shared" ref="U19:U30" si="3">ABS(U2/$U$1)</f>
        <v>1</v>
      </c>
      <c r="V19" s="25">
        <f t="shared" ref="V19:V30" si="4">ABS(V2/$V$1)</f>
        <v>1</v>
      </c>
      <c r="W19" s="25">
        <f t="shared" ref="W19:W30" si="5">ABS(W2/$W$1)</f>
        <v>1</v>
      </c>
      <c r="X19" s="25">
        <f t="shared" ref="X19:X30" si="6">ABS(X2/$X$1)</f>
        <v>1</v>
      </c>
      <c r="Y19" s="25">
        <f t="shared" ref="Y19:Y30" si="7">ABS(Y2/$Y$1)</f>
        <v>1</v>
      </c>
      <c r="Z19" s="25">
        <f t="shared" ref="Z19:Z30" si="8">ABS(Z2/$Z$1)</f>
        <v>1</v>
      </c>
      <c r="AA19" s="25">
        <f t="shared" ref="AA19:AA30" si="9">ABS(AA2/$AA$1)</f>
        <v>1</v>
      </c>
      <c r="AB19" s="25">
        <f t="shared" ref="AB19:AB30" si="10">ABS(AB2/$AB$1)</f>
        <v>1</v>
      </c>
      <c r="AC19" s="26">
        <f t="shared" ref="AC19:AC30" si="11">ABS(AC2/$AC$1)</f>
        <v>1</v>
      </c>
      <c r="AE19" s="8"/>
      <c r="AF19" s="8"/>
      <c r="AG19" s="8"/>
      <c r="AH19" s="8"/>
      <c r="AI19" s="8"/>
      <c r="AJ19" s="8"/>
      <c r="AK19" s="8"/>
      <c r="AL19" s="43"/>
    </row>
    <row r="20" spans="1:38" x14ac:dyDescent="0.25">
      <c r="A20" s="1" t="s">
        <v>17</v>
      </c>
      <c r="B20">
        <v>0</v>
      </c>
      <c r="C20">
        <v>0</v>
      </c>
      <c r="D20">
        <v>0</v>
      </c>
      <c r="E20">
        <v>0</v>
      </c>
      <c r="F20">
        <v>0.1</v>
      </c>
      <c r="G20">
        <v>0.4</v>
      </c>
      <c r="H20">
        <v>0.6</v>
      </c>
      <c r="I20">
        <v>0.8</v>
      </c>
      <c r="J20">
        <v>0.9</v>
      </c>
      <c r="K20">
        <v>1</v>
      </c>
      <c r="L20">
        <v>1</v>
      </c>
      <c r="M20">
        <v>1</v>
      </c>
      <c r="N20">
        <v>0.9</v>
      </c>
      <c r="P20" s="13"/>
      <c r="Q20" s="37" t="s">
        <v>157</v>
      </c>
      <c r="R20" s="8">
        <f t="shared" si="0"/>
        <v>1</v>
      </c>
      <c r="S20" s="8">
        <f t="shared" si="1"/>
        <v>1</v>
      </c>
      <c r="T20" s="8">
        <f t="shared" si="2"/>
        <v>1</v>
      </c>
      <c r="U20" s="8">
        <f t="shared" si="3"/>
        <v>1</v>
      </c>
      <c r="V20" s="8">
        <f t="shared" si="4"/>
        <v>1</v>
      </c>
      <c r="W20" s="8">
        <f t="shared" si="5"/>
        <v>1</v>
      </c>
      <c r="X20" s="8">
        <f t="shared" si="6"/>
        <v>1</v>
      </c>
      <c r="Y20" s="8">
        <f t="shared" si="7"/>
        <v>1</v>
      </c>
      <c r="Z20" s="8">
        <f t="shared" si="8"/>
        <v>1</v>
      </c>
      <c r="AA20" s="8">
        <f t="shared" si="9"/>
        <v>1</v>
      </c>
      <c r="AB20" s="8">
        <f t="shared" si="10"/>
        <v>1</v>
      </c>
      <c r="AC20" s="9">
        <f t="shared" si="11"/>
        <v>1</v>
      </c>
      <c r="AE20" s="8"/>
      <c r="AF20" s="8"/>
      <c r="AG20" s="8"/>
      <c r="AH20" s="8"/>
      <c r="AI20" s="8"/>
      <c r="AJ20" s="8"/>
      <c r="AK20" s="8"/>
      <c r="AL20" s="8"/>
    </row>
    <row r="21" spans="1:38" x14ac:dyDescent="0.25">
      <c r="A21" s="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0.1</v>
      </c>
      <c r="H21">
        <v>0.3</v>
      </c>
      <c r="I21">
        <v>0.5</v>
      </c>
      <c r="J21">
        <v>0.9</v>
      </c>
      <c r="K21">
        <v>1</v>
      </c>
      <c r="L21">
        <v>1</v>
      </c>
      <c r="M21">
        <v>1</v>
      </c>
      <c r="N21">
        <v>0.9</v>
      </c>
      <c r="P21" s="13"/>
      <c r="Q21" s="37" t="s">
        <v>158</v>
      </c>
      <c r="R21" s="8">
        <f t="shared" si="0"/>
        <v>1</v>
      </c>
      <c r="S21" s="8">
        <f>ABS(S4/$S$1)</f>
        <v>1</v>
      </c>
      <c r="T21" s="8">
        <f t="shared" si="2"/>
        <v>1</v>
      </c>
      <c r="U21" s="8">
        <f t="shared" si="3"/>
        <v>1</v>
      </c>
      <c r="V21" s="8">
        <f t="shared" si="4"/>
        <v>1</v>
      </c>
      <c r="W21" s="8">
        <f t="shared" si="5"/>
        <v>1</v>
      </c>
      <c r="X21" s="8">
        <f t="shared" si="6"/>
        <v>1</v>
      </c>
      <c r="Y21" s="8">
        <f t="shared" si="7"/>
        <v>1</v>
      </c>
      <c r="Z21" s="8">
        <f t="shared" si="8"/>
        <v>1</v>
      </c>
      <c r="AA21" s="8">
        <f t="shared" si="9"/>
        <v>1.1052631578947369</v>
      </c>
      <c r="AB21" s="8">
        <f t="shared" si="10"/>
        <v>1.0952380952380953</v>
      </c>
      <c r="AC21" s="9">
        <f t="shared" si="11"/>
        <v>1.0869565217391304</v>
      </c>
      <c r="AE21" s="8"/>
      <c r="AF21" s="8"/>
      <c r="AG21" s="8"/>
      <c r="AH21" s="8"/>
      <c r="AI21" s="8"/>
      <c r="AJ21" s="8"/>
      <c r="AK21" s="8"/>
      <c r="AL21" s="8"/>
    </row>
    <row r="22" spans="1:38" x14ac:dyDescent="0.25">
      <c r="A22" s="1" t="s">
        <v>19</v>
      </c>
      <c r="B22">
        <v>0</v>
      </c>
      <c r="C22">
        <v>0</v>
      </c>
      <c r="D22">
        <v>0.1</v>
      </c>
      <c r="E22">
        <v>0.3</v>
      </c>
      <c r="F22">
        <v>0.5</v>
      </c>
      <c r="G22">
        <v>0.7</v>
      </c>
      <c r="H22">
        <v>0.9</v>
      </c>
      <c r="I22">
        <v>1</v>
      </c>
      <c r="J22">
        <v>1</v>
      </c>
      <c r="K22">
        <v>1</v>
      </c>
      <c r="L22">
        <v>0.9</v>
      </c>
      <c r="M22">
        <v>0.7</v>
      </c>
      <c r="N22">
        <v>0.6</v>
      </c>
      <c r="P22" s="14"/>
      <c r="Q22" s="38" t="s">
        <v>159</v>
      </c>
      <c r="R22" s="11">
        <f t="shared" si="0"/>
        <v>1</v>
      </c>
      <c r="S22" s="11">
        <f t="shared" si="1"/>
        <v>1</v>
      </c>
      <c r="T22" s="11">
        <f t="shared" si="2"/>
        <v>1</v>
      </c>
      <c r="U22" s="11">
        <f t="shared" si="3"/>
        <v>1</v>
      </c>
      <c r="V22" s="11">
        <f t="shared" si="4"/>
        <v>1</v>
      </c>
      <c r="W22" s="11">
        <f t="shared" si="5"/>
        <v>1</v>
      </c>
      <c r="X22" s="11">
        <f t="shared" si="6"/>
        <v>1</v>
      </c>
      <c r="Y22" s="11">
        <f t="shared" si="7"/>
        <v>1</v>
      </c>
      <c r="Z22" s="11">
        <f t="shared" si="8"/>
        <v>1</v>
      </c>
      <c r="AA22" s="11">
        <f t="shared" si="9"/>
        <v>1</v>
      </c>
      <c r="AB22" s="11">
        <f t="shared" si="10"/>
        <v>1</v>
      </c>
      <c r="AC22" s="12">
        <f t="shared" si="11"/>
        <v>1</v>
      </c>
      <c r="AE22" s="8"/>
      <c r="AF22" s="8"/>
      <c r="AG22" s="8"/>
      <c r="AH22" s="8"/>
      <c r="AI22" s="8"/>
      <c r="AJ22" s="8"/>
      <c r="AK22" s="8"/>
      <c r="AL22" s="8"/>
    </row>
    <row r="23" spans="1:38" x14ac:dyDescent="0.25">
      <c r="A23" s="1" t="s">
        <v>20</v>
      </c>
      <c r="B23">
        <v>0</v>
      </c>
      <c r="C23">
        <v>0</v>
      </c>
      <c r="D23">
        <v>0</v>
      </c>
      <c r="E23">
        <v>0</v>
      </c>
      <c r="F23">
        <v>0.1</v>
      </c>
      <c r="G23">
        <v>0.2</v>
      </c>
      <c r="H23">
        <v>0.5</v>
      </c>
      <c r="I23">
        <v>0.7</v>
      </c>
      <c r="J23">
        <v>1</v>
      </c>
      <c r="K23">
        <v>1</v>
      </c>
      <c r="L23">
        <v>1</v>
      </c>
      <c r="M23">
        <v>0.9</v>
      </c>
      <c r="N23">
        <v>0.8</v>
      </c>
      <c r="P23" s="22" t="s">
        <v>135</v>
      </c>
      <c r="Q23" s="36" t="s">
        <v>156</v>
      </c>
      <c r="R23" s="25">
        <f t="shared" si="0"/>
        <v>1</v>
      </c>
      <c r="S23" s="25">
        <f t="shared" si="1"/>
        <v>1</v>
      </c>
      <c r="T23" s="25">
        <f t="shared" si="2"/>
        <v>1</v>
      </c>
      <c r="U23" s="25">
        <f t="shared" si="3"/>
        <v>1</v>
      </c>
      <c r="V23" s="25">
        <f t="shared" si="4"/>
        <v>1</v>
      </c>
      <c r="W23" s="25">
        <f t="shared" si="5"/>
        <v>1</v>
      </c>
      <c r="X23" s="25">
        <f t="shared" si="6"/>
        <v>1</v>
      </c>
      <c r="Y23" s="25">
        <f t="shared" si="7"/>
        <v>0.8666666666666667</v>
      </c>
      <c r="Z23" s="25">
        <f t="shared" si="8"/>
        <v>0.88235294117647056</v>
      </c>
      <c r="AA23" s="25">
        <f t="shared" si="9"/>
        <v>0.89473684210526316</v>
      </c>
      <c r="AB23" s="25">
        <f t="shared" si="10"/>
        <v>0.90476190476190477</v>
      </c>
      <c r="AC23" s="26">
        <f t="shared" si="11"/>
        <v>0.91304347826086951</v>
      </c>
      <c r="AE23" s="8"/>
      <c r="AF23" s="8"/>
      <c r="AG23" s="8"/>
      <c r="AH23" s="8"/>
      <c r="AI23" s="8"/>
      <c r="AJ23" s="8"/>
      <c r="AK23" s="8"/>
      <c r="AL23" s="8"/>
    </row>
    <row r="24" spans="1:38" x14ac:dyDescent="0.25">
      <c r="A24" s="1" t="s">
        <v>21</v>
      </c>
      <c r="B24">
        <v>0</v>
      </c>
      <c r="C24">
        <v>0</v>
      </c>
      <c r="D24">
        <v>0</v>
      </c>
      <c r="E24">
        <v>0</v>
      </c>
      <c r="F24">
        <v>0.1</v>
      </c>
      <c r="G24">
        <v>0.2</v>
      </c>
      <c r="H24">
        <v>0.4</v>
      </c>
      <c r="I24">
        <v>0.6</v>
      </c>
      <c r="J24">
        <v>0.9</v>
      </c>
      <c r="K24">
        <v>1</v>
      </c>
      <c r="L24">
        <v>1</v>
      </c>
      <c r="M24">
        <v>1</v>
      </c>
      <c r="N24">
        <v>0.9</v>
      </c>
      <c r="P24" s="13"/>
      <c r="Q24" s="37" t="s">
        <v>157</v>
      </c>
      <c r="R24" s="8">
        <f t="shared" si="0"/>
        <v>1</v>
      </c>
      <c r="S24" s="8">
        <f t="shared" si="1"/>
        <v>1</v>
      </c>
      <c r="T24" s="8">
        <f t="shared" si="2"/>
        <v>1</v>
      </c>
      <c r="U24" s="8">
        <f t="shared" si="3"/>
        <v>1</v>
      </c>
      <c r="V24" s="8">
        <f t="shared" si="4"/>
        <v>1</v>
      </c>
      <c r="W24" s="8">
        <f t="shared" si="5"/>
        <v>1</v>
      </c>
      <c r="X24" s="8">
        <f t="shared" si="6"/>
        <v>1</v>
      </c>
      <c r="Y24" s="8">
        <f t="shared" si="7"/>
        <v>1</v>
      </c>
      <c r="Z24" s="8">
        <f t="shared" si="8"/>
        <v>1</v>
      </c>
      <c r="AA24" s="8">
        <f t="shared" si="9"/>
        <v>1</v>
      </c>
      <c r="AB24" s="8">
        <f t="shared" si="10"/>
        <v>1</v>
      </c>
      <c r="AC24" s="9">
        <f t="shared" si="11"/>
        <v>1</v>
      </c>
      <c r="AE24" s="8"/>
      <c r="AF24" s="8"/>
      <c r="AG24" s="8"/>
      <c r="AH24" s="8"/>
      <c r="AI24" s="8"/>
      <c r="AJ24" s="8"/>
      <c r="AK24" s="8"/>
      <c r="AL24" s="43"/>
    </row>
    <row r="25" spans="1:38" x14ac:dyDescent="0.25">
      <c r="A25" s="1" t="s">
        <v>22</v>
      </c>
      <c r="B25">
        <v>0.1</v>
      </c>
      <c r="C25">
        <v>0.1</v>
      </c>
      <c r="D25">
        <v>0.2</v>
      </c>
      <c r="E25">
        <v>0.3</v>
      </c>
      <c r="F25">
        <v>0.5</v>
      </c>
      <c r="G25">
        <v>0.7</v>
      </c>
      <c r="H25">
        <v>0.9</v>
      </c>
      <c r="I25">
        <v>1</v>
      </c>
      <c r="J25">
        <v>1</v>
      </c>
      <c r="K25">
        <v>0.9</v>
      </c>
      <c r="L25">
        <v>0.8</v>
      </c>
      <c r="M25">
        <v>0.7</v>
      </c>
      <c r="N25">
        <v>0.6</v>
      </c>
      <c r="P25" s="29"/>
      <c r="Q25" s="37" t="s">
        <v>158</v>
      </c>
      <c r="R25" s="8">
        <f t="shared" si="0"/>
        <v>1</v>
      </c>
      <c r="S25" s="8">
        <f t="shared" si="1"/>
        <v>1</v>
      </c>
      <c r="T25" s="8">
        <f t="shared" si="2"/>
        <v>1</v>
      </c>
      <c r="U25" s="8">
        <f t="shared" si="3"/>
        <v>1</v>
      </c>
      <c r="V25" s="8">
        <f t="shared" si="4"/>
        <v>1</v>
      </c>
      <c r="W25" s="8">
        <f t="shared" si="5"/>
        <v>1.1818181818181819</v>
      </c>
      <c r="X25" s="8">
        <f t="shared" si="6"/>
        <v>1.1538461538461537</v>
      </c>
      <c r="Y25" s="8">
        <f t="shared" si="7"/>
        <v>1.1333333333333333</v>
      </c>
      <c r="Z25" s="8">
        <f t="shared" si="8"/>
        <v>1.1176470588235294</v>
      </c>
      <c r="AA25" s="8">
        <f t="shared" si="9"/>
        <v>1.1052631578947369</v>
      </c>
      <c r="AB25" s="8">
        <f t="shared" si="10"/>
        <v>1.0952380952380953</v>
      </c>
      <c r="AC25" s="9">
        <f t="shared" si="11"/>
        <v>1.0869565217391304</v>
      </c>
      <c r="AE25" s="8"/>
      <c r="AF25" s="8"/>
      <c r="AG25" s="8"/>
      <c r="AH25" s="8"/>
      <c r="AI25" s="8"/>
      <c r="AJ25" s="8"/>
      <c r="AK25" s="8"/>
      <c r="AL25" s="43"/>
    </row>
    <row r="26" spans="1:38" x14ac:dyDescent="0.25">
      <c r="A26" s="1" t="s">
        <v>23</v>
      </c>
      <c r="B26">
        <v>0</v>
      </c>
      <c r="C26">
        <v>0</v>
      </c>
      <c r="D26">
        <v>0</v>
      </c>
      <c r="E26">
        <v>0.3</v>
      </c>
      <c r="F26">
        <v>0.5</v>
      </c>
      <c r="G26">
        <v>0.8</v>
      </c>
      <c r="H26">
        <v>0.9</v>
      </c>
      <c r="I26">
        <v>1</v>
      </c>
      <c r="J26">
        <v>1</v>
      </c>
      <c r="K26">
        <v>1</v>
      </c>
      <c r="L26">
        <v>1</v>
      </c>
      <c r="M26">
        <v>1</v>
      </c>
      <c r="N26">
        <v>0.9</v>
      </c>
      <c r="P26" s="14"/>
      <c r="Q26" s="38" t="s">
        <v>159</v>
      </c>
      <c r="R26" s="11">
        <f t="shared" si="0"/>
        <v>1</v>
      </c>
      <c r="S26" s="11">
        <f t="shared" si="1"/>
        <v>1</v>
      </c>
      <c r="T26" s="11">
        <f t="shared" si="2"/>
        <v>1</v>
      </c>
      <c r="U26" s="11">
        <f t="shared" si="3"/>
        <v>1</v>
      </c>
      <c r="V26" s="11">
        <f t="shared" si="4"/>
        <v>1</v>
      </c>
      <c r="W26" s="11">
        <f t="shared" si="5"/>
        <v>1</v>
      </c>
      <c r="X26" s="11">
        <f t="shared" si="6"/>
        <v>1</v>
      </c>
      <c r="Y26" s="11">
        <f t="shared" si="7"/>
        <v>1</v>
      </c>
      <c r="Z26" s="11">
        <f t="shared" si="8"/>
        <v>1.1176470588235294</v>
      </c>
      <c r="AA26" s="11">
        <f t="shared" si="9"/>
        <v>1.1052631578947369</v>
      </c>
      <c r="AB26" s="11">
        <f t="shared" si="10"/>
        <v>1.0952380952380953</v>
      </c>
      <c r="AC26" s="12">
        <f t="shared" si="11"/>
        <v>1.0869565217391304</v>
      </c>
      <c r="AE26" s="8"/>
      <c r="AF26" s="8"/>
      <c r="AG26" s="8"/>
      <c r="AH26" s="8"/>
      <c r="AI26" s="8"/>
      <c r="AJ26" s="8"/>
      <c r="AK26" s="8"/>
      <c r="AL26" s="8"/>
    </row>
    <row r="27" spans="1:38" x14ac:dyDescent="0.25">
      <c r="P27" s="22" t="s">
        <v>136</v>
      </c>
      <c r="Q27" s="36" t="s">
        <v>156</v>
      </c>
      <c r="R27" s="25">
        <f t="shared" si="0"/>
        <v>1</v>
      </c>
      <c r="S27" s="25">
        <f t="shared" si="1"/>
        <v>3</v>
      </c>
      <c r="T27" s="25">
        <f t="shared" si="2"/>
        <v>1</v>
      </c>
      <c r="U27" s="25">
        <f t="shared" si="3"/>
        <v>0.33333333333333331</v>
      </c>
      <c r="V27" s="25">
        <f t="shared" si="4"/>
        <v>0.66666666666666663</v>
      </c>
      <c r="W27" s="25">
        <f t="shared" si="5"/>
        <v>0.81818181818181823</v>
      </c>
      <c r="X27" s="25">
        <f t="shared" si="6"/>
        <v>0.84615384615384615</v>
      </c>
      <c r="Y27" s="25">
        <f t="shared" si="7"/>
        <v>0.8666666666666667</v>
      </c>
      <c r="Z27" s="25">
        <f t="shared" si="8"/>
        <v>0.88235294117647056</v>
      </c>
      <c r="AA27" s="25">
        <f t="shared" si="9"/>
        <v>0.89473684210526316</v>
      </c>
      <c r="AB27" s="25">
        <f t="shared" si="10"/>
        <v>0.90476190476190477</v>
      </c>
      <c r="AC27" s="26">
        <f t="shared" si="11"/>
        <v>0.91304347826086951</v>
      </c>
      <c r="AE27" s="8"/>
      <c r="AF27" s="8"/>
      <c r="AG27" s="8"/>
      <c r="AH27" s="8"/>
      <c r="AI27" s="8"/>
      <c r="AJ27" s="8"/>
      <c r="AK27" s="8"/>
      <c r="AL27" s="8"/>
    </row>
    <row r="28" spans="1:38" x14ac:dyDescent="0.25">
      <c r="P28" s="13"/>
      <c r="Q28" s="37" t="s">
        <v>157</v>
      </c>
      <c r="R28" s="8">
        <f t="shared" si="0"/>
        <v>0</v>
      </c>
      <c r="S28" s="8">
        <f t="shared" si="1"/>
        <v>0</v>
      </c>
      <c r="T28" s="8">
        <f t="shared" si="2"/>
        <v>0</v>
      </c>
      <c r="U28" s="8">
        <f t="shared" si="3"/>
        <v>0</v>
      </c>
      <c r="V28" s="8">
        <f t="shared" si="4"/>
        <v>0</v>
      </c>
      <c r="W28" s="8">
        <f t="shared" si="5"/>
        <v>0</v>
      </c>
      <c r="X28" s="8">
        <f t="shared" si="6"/>
        <v>0</v>
      </c>
      <c r="Y28" s="8">
        <f t="shared" si="7"/>
        <v>0</v>
      </c>
      <c r="Z28" s="8">
        <f t="shared" si="8"/>
        <v>0</v>
      </c>
      <c r="AA28" s="8">
        <f t="shared" si="9"/>
        <v>0</v>
      </c>
      <c r="AB28" s="8">
        <f t="shared" si="10"/>
        <v>0</v>
      </c>
      <c r="AC28" s="9">
        <f t="shared" si="11"/>
        <v>0</v>
      </c>
      <c r="AE28" s="8"/>
      <c r="AF28" s="8"/>
      <c r="AG28" s="8"/>
      <c r="AH28" s="8"/>
      <c r="AI28" s="8"/>
      <c r="AJ28" s="8"/>
      <c r="AK28" s="8"/>
      <c r="AL28" s="8"/>
    </row>
    <row r="29" spans="1:38" x14ac:dyDescent="0.25">
      <c r="P29" s="13"/>
      <c r="Q29" s="37" t="s">
        <v>158</v>
      </c>
      <c r="R29" s="8">
        <f>ABS(R12/$R$1)</f>
        <v>0</v>
      </c>
      <c r="S29" s="8">
        <f t="shared" si="1"/>
        <v>0</v>
      </c>
      <c r="T29" s="8">
        <f t="shared" si="2"/>
        <v>0</v>
      </c>
      <c r="U29" s="8">
        <f t="shared" si="3"/>
        <v>0</v>
      </c>
      <c r="V29" s="8">
        <f t="shared" si="4"/>
        <v>0</v>
      </c>
      <c r="W29" s="8">
        <f t="shared" si="5"/>
        <v>0</v>
      </c>
      <c r="X29" s="8">
        <f t="shared" si="6"/>
        <v>0</v>
      </c>
      <c r="Y29" s="8">
        <f t="shared" si="7"/>
        <v>0</v>
      </c>
      <c r="Z29" s="8">
        <f t="shared" si="8"/>
        <v>0</v>
      </c>
      <c r="AA29" s="8">
        <f t="shared" si="9"/>
        <v>0</v>
      </c>
      <c r="AB29" s="8">
        <f t="shared" si="10"/>
        <v>0</v>
      </c>
      <c r="AC29" s="9">
        <f t="shared" si="11"/>
        <v>0</v>
      </c>
      <c r="AE29" s="8"/>
      <c r="AF29" s="8"/>
      <c r="AG29" s="8"/>
      <c r="AH29" s="8"/>
      <c r="AI29" s="8"/>
      <c r="AJ29" s="8"/>
      <c r="AK29" s="8"/>
      <c r="AL29" s="8"/>
    </row>
    <row r="30" spans="1:38" x14ac:dyDescent="0.25">
      <c r="P30" s="14"/>
      <c r="Q30" s="38" t="s">
        <v>159</v>
      </c>
      <c r="R30" s="11">
        <f t="shared" si="0"/>
        <v>0</v>
      </c>
      <c r="S30" s="11">
        <f t="shared" si="1"/>
        <v>0</v>
      </c>
      <c r="T30" s="11">
        <f t="shared" si="2"/>
        <v>0</v>
      </c>
      <c r="U30" s="11">
        <f t="shared" si="3"/>
        <v>0</v>
      </c>
      <c r="V30" s="11">
        <f t="shared" si="4"/>
        <v>0</v>
      </c>
      <c r="W30" s="11">
        <f t="shared" si="5"/>
        <v>0</v>
      </c>
      <c r="X30" s="11">
        <f t="shared" si="6"/>
        <v>0</v>
      </c>
      <c r="Y30" s="11">
        <f t="shared" si="7"/>
        <v>0</v>
      </c>
      <c r="Z30" s="11">
        <f t="shared" si="8"/>
        <v>0</v>
      </c>
      <c r="AA30" s="11">
        <f t="shared" si="9"/>
        <v>0</v>
      </c>
      <c r="AB30" s="11">
        <f t="shared" si="10"/>
        <v>0</v>
      </c>
      <c r="AC30" s="12">
        <f t="shared" si="11"/>
        <v>0</v>
      </c>
      <c r="AE30" s="8"/>
      <c r="AF30" s="8"/>
      <c r="AG30" s="8"/>
      <c r="AH30" s="8"/>
      <c r="AI30" s="8"/>
      <c r="AJ30" s="8"/>
      <c r="AK30" s="8"/>
      <c r="AL30" s="8"/>
    </row>
    <row r="31" spans="1:38" x14ac:dyDescent="0.25">
      <c r="AE31" s="8"/>
      <c r="AF31" s="8"/>
      <c r="AG31" s="8"/>
      <c r="AH31" s="8"/>
      <c r="AI31" s="8"/>
      <c r="AJ31" s="8"/>
      <c r="AK31" s="8"/>
      <c r="AL31" s="8"/>
    </row>
    <row r="32" spans="1:38" x14ac:dyDescent="0.25">
      <c r="P32" s="51" t="s">
        <v>162</v>
      </c>
      <c r="Q32" s="52"/>
      <c r="S32">
        <f>HLOOKUP(MROUND('Date Inițiale'!B4,0.5),'Temperatura medie anuală'!R18:AC30,1,1)</f>
        <v>10.5</v>
      </c>
      <c r="AE32" s="8"/>
      <c r="AF32" s="8"/>
      <c r="AG32" s="8"/>
      <c r="AH32" s="8"/>
      <c r="AI32" s="8"/>
      <c r="AJ32" s="8"/>
      <c r="AK32" s="8"/>
      <c r="AL32" s="8"/>
    </row>
    <row r="33" spans="16:39" x14ac:dyDescent="0.25">
      <c r="P33" s="32">
        <f>IF('Date Inițiale'!B3=Panta!D2,2,IF('Date Inițiale'!B3=Panta!E2,6,IF('Date Inițiale'!B3=Panta!F2,10,0)))</f>
        <v>0</v>
      </c>
      <c r="Q33" s="33">
        <f>IF('Date Inițiale'!D3="N",0,IF('Date Inițiale'!D3="E",1,IF('Date Inițiale'!D3="S",2,IF('Date Inițiale'!D3="V",3,0))))</f>
        <v>2</v>
      </c>
      <c r="AD33" s="8"/>
      <c r="AE33" s="8"/>
      <c r="AF33" s="8"/>
      <c r="AG33" s="8"/>
      <c r="AH33" s="8"/>
      <c r="AI33" s="8"/>
      <c r="AJ33" s="8"/>
      <c r="AK33" s="8"/>
      <c r="AL33" s="8"/>
    </row>
    <row r="34" spans="16:39" x14ac:dyDescent="0.25">
      <c r="V34" s="39">
        <v>5.5</v>
      </c>
      <c r="W34" s="25">
        <v>6.5</v>
      </c>
      <c r="X34" s="26">
        <v>7.5</v>
      </c>
      <c r="Y34" s="40">
        <f>AVERAGE(V34:X34)</f>
        <v>6.5</v>
      </c>
      <c r="Z34" t="s">
        <v>165</v>
      </c>
      <c r="AA34">
        <f>(V34-W34)/V34*Y37+(X34-W34)/X34*Y37</f>
        <v>-5.6124885215794312E-2</v>
      </c>
      <c r="AB34">
        <f>AVERAGE(V35+V35*AA34,X35-X35*AA34)</f>
        <v>1.156215154297799</v>
      </c>
      <c r="AC34" s="42">
        <f>1-W35/AB34</f>
        <v>2.0489270036284646E-3</v>
      </c>
      <c r="AD34" s="8"/>
      <c r="AE34" s="8"/>
      <c r="AF34" s="8"/>
      <c r="AG34" s="8"/>
      <c r="AH34" s="8"/>
      <c r="AI34" s="8"/>
      <c r="AJ34" s="8"/>
      <c r="AK34" s="8"/>
      <c r="AL34" s="43"/>
    </row>
    <row r="35" spans="16:39" x14ac:dyDescent="0.25">
      <c r="P35" s="51" t="s">
        <v>163</v>
      </c>
      <c r="Q35" s="52"/>
      <c r="V35" s="14">
        <v>1.1818181818181819</v>
      </c>
      <c r="W35" s="11">
        <v>1.1538461538461537</v>
      </c>
      <c r="X35" s="12">
        <v>1.1333333333333333</v>
      </c>
      <c r="Y35" s="41">
        <f>AVERAGE(V35:X35)</f>
        <v>1.1563325563325564</v>
      </c>
      <c r="Z35" t="s">
        <v>167</v>
      </c>
      <c r="AC35" s="42">
        <f>1-W35/Y37</f>
        <v>3.2219089810714419E-3</v>
      </c>
      <c r="AD35" s="8"/>
      <c r="AE35" s="8"/>
      <c r="AF35" s="8"/>
      <c r="AG35" s="8"/>
      <c r="AH35" s="8"/>
      <c r="AI35" s="8"/>
      <c r="AJ35" s="8"/>
      <c r="AK35" s="8"/>
      <c r="AL35" s="43"/>
    </row>
    <row r="36" spans="16:39" x14ac:dyDescent="0.25">
      <c r="P36" s="34">
        <f>MIN(R17:AC17)</f>
        <v>0.25</v>
      </c>
      <c r="Q36" s="35">
        <f>COUNTIF(R17:AC17,MIN(R17:AC17))</f>
        <v>1</v>
      </c>
      <c r="W36" s="39">
        <v>5.5</v>
      </c>
      <c r="X36" s="26">
        <v>7.5</v>
      </c>
      <c r="Y36" s="40">
        <f t="shared" ref="Y36:Y37" si="12">AVERAGE(V36:X36)</f>
        <v>6.5</v>
      </c>
      <c r="Z36" t="s">
        <v>165</v>
      </c>
      <c r="AD36" s="8"/>
      <c r="AE36" s="8"/>
      <c r="AF36" s="8"/>
      <c r="AG36" s="8"/>
      <c r="AH36" s="8"/>
      <c r="AI36" s="8"/>
      <c r="AJ36" s="8"/>
      <c r="AK36" s="8"/>
      <c r="AL36" s="8"/>
    </row>
    <row r="37" spans="16:39" x14ac:dyDescent="0.25">
      <c r="W37" s="14">
        <v>1.1818181818181819</v>
      </c>
      <c r="X37" s="12">
        <v>1.1333333333333333</v>
      </c>
      <c r="Y37" s="41">
        <f t="shared" si="12"/>
        <v>1.1575757575757577</v>
      </c>
      <c r="Z37" t="s">
        <v>166</v>
      </c>
      <c r="AD37" s="8"/>
      <c r="AE37" s="8"/>
      <c r="AF37" s="8"/>
      <c r="AG37" s="8"/>
      <c r="AH37" s="8"/>
      <c r="AI37" s="8"/>
      <c r="AJ37" s="8"/>
      <c r="AK37" s="8"/>
      <c r="AL37" s="8"/>
    </row>
    <row r="38" spans="16:39" x14ac:dyDescent="0.25">
      <c r="P38" s="51" t="s">
        <v>164</v>
      </c>
      <c r="Q38" s="52"/>
      <c r="AD38" s="8"/>
      <c r="AE38" s="8"/>
      <c r="AF38" s="8"/>
      <c r="AG38" s="8"/>
      <c r="AH38" s="8"/>
      <c r="AI38" s="8"/>
      <c r="AJ38" s="8"/>
      <c r="AK38" s="8"/>
      <c r="AL38" s="8"/>
    </row>
    <row r="39" spans="16:39" x14ac:dyDescent="0.25">
      <c r="P39" s="34">
        <f>HLOOKUP(MIN(R17:AC17),R17:AC30,2,0)</f>
        <v>10.5</v>
      </c>
      <c r="Q39" s="35" t="e">
        <f ca="1">HLOOKUP(_xlfn.MINIFS(R17:AC17,R17:AC17,"&gt;"&amp;P36),R17:AC30,2,0)</f>
        <v>#NAME?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6:39" x14ac:dyDescent="0.25">
      <c r="V40" s="8"/>
      <c r="W40" s="8"/>
      <c r="X40" s="8"/>
      <c r="Y40" s="8"/>
      <c r="Z40" s="8"/>
      <c r="AA40" s="8"/>
      <c r="AB40" s="8"/>
      <c r="AC40" s="43"/>
      <c r="AD40" s="8"/>
      <c r="AE40" s="8"/>
      <c r="AF40" s="8"/>
      <c r="AG40" s="8"/>
      <c r="AH40" s="8"/>
      <c r="AI40" s="8"/>
      <c r="AJ40" s="8"/>
      <c r="AK40" s="8"/>
      <c r="AL40" s="43"/>
      <c r="AM40" s="8"/>
    </row>
    <row r="41" spans="16:39" x14ac:dyDescent="0.25">
      <c r="P41" s="51" t="s">
        <v>168</v>
      </c>
      <c r="Q41" s="52"/>
      <c r="V41" s="8"/>
      <c r="W41" s="8"/>
      <c r="X41" s="8"/>
      <c r="Y41" s="8"/>
      <c r="Z41" s="8"/>
      <c r="AA41" s="8"/>
      <c r="AB41" s="8"/>
      <c r="AC41" s="43"/>
      <c r="AD41" s="8"/>
      <c r="AE41" s="8"/>
      <c r="AF41" s="8"/>
      <c r="AG41" s="8"/>
      <c r="AH41" s="8"/>
      <c r="AI41" s="8"/>
      <c r="AJ41" s="8"/>
      <c r="AK41" s="8"/>
      <c r="AL41" s="43"/>
      <c r="AM41" s="8"/>
    </row>
    <row r="42" spans="16:39" x14ac:dyDescent="0.25">
      <c r="P42" s="34">
        <f>HLOOKUP(P39,R18:AC30,P33+Q33,0)</f>
        <v>1</v>
      </c>
      <c r="Q42" s="35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6:39" x14ac:dyDescent="0.25"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6:39" x14ac:dyDescent="0.25"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6:39" x14ac:dyDescent="0.25">
      <c r="AD45" s="8"/>
      <c r="AE45" s="8"/>
      <c r="AF45" s="8"/>
      <c r="AG45" s="8"/>
      <c r="AH45" s="8"/>
      <c r="AI45" s="8"/>
      <c r="AJ45" s="8"/>
    </row>
    <row r="46" spans="16:39" x14ac:dyDescent="0.25">
      <c r="AD46" s="8"/>
      <c r="AE46" s="8"/>
      <c r="AF46" s="8"/>
      <c r="AG46" s="8"/>
      <c r="AH46" s="8"/>
      <c r="AI46" s="8"/>
      <c r="AJ46" s="8"/>
    </row>
  </sheetData>
  <mergeCells count="8">
    <mergeCell ref="P35:Q35"/>
    <mergeCell ref="P38:Q38"/>
    <mergeCell ref="P41:Q41"/>
    <mergeCell ref="A1:A2"/>
    <mergeCell ref="B1:N1"/>
    <mergeCell ref="P1:Q1"/>
    <mergeCell ref="P18:Q18"/>
    <mergeCell ref="P32:Q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48576"/>
  <sheetViews>
    <sheetView topLeftCell="J1" workbookViewId="0">
      <selection activeCell="J32" sqref="J32"/>
    </sheetView>
  </sheetViews>
  <sheetFormatPr defaultRowHeight="15" x14ac:dyDescent="0.25"/>
  <cols>
    <col min="1" max="1" width="19.28515625" bestFit="1" customWidth="1"/>
  </cols>
  <sheetData>
    <row r="1" spans="1:28" x14ac:dyDescent="0.25">
      <c r="A1" s="57" t="s">
        <v>24</v>
      </c>
      <c r="B1" s="56" t="s">
        <v>144</v>
      </c>
      <c r="C1" s="56"/>
      <c r="D1" s="56"/>
      <c r="E1" s="56"/>
      <c r="F1" s="56"/>
      <c r="G1" s="56"/>
      <c r="H1" s="56"/>
      <c r="I1" s="56"/>
      <c r="J1" s="59"/>
      <c r="K1" s="55" t="s">
        <v>143</v>
      </c>
      <c r="L1" s="56"/>
      <c r="M1" s="56"/>
      <c r="N1" s="56"/>
      <c r="O1" s="56"/>
      <c r="P1" s="56"/>
      <c r="Q1" s="56"/>
      <c r="R1" s="56"/>
      <c r="S1" s="59"/>
      <c r="T1" s="55" t="s">
        <v>181</v>
      </c>
      <c r="U1" s="56"/>
      <c r="V1" s="56"/>
      <c r="W1" s="56"/>
      <c r="X1" s="56"/>
      <c r="Y1" s="56"/>
      <c r="Z1" s="56"/>
      <c r="AA1" s="56"/>
      <c r="AB1" s="59"/>
    </row>
    <row r="2" spans="1:28" x14ac:dyDescent="0.25">
      <c r="A2" s="58"/>
      <c r="B2" s="5">
        <v>250</v>
      </c>
      <c r="C2" s="5">
        <v>350</v>
      </c>
      <c r="D2" s="5">
        <v>425</v>
      </c>
      <c r="E2" s="5">
        <v>475</v>
      </c>
      <c r="F2" s="5">
        <v>525</v>
      </c>
      <c r="G2" s="5">
        <v>575</v>
      </c>
      <c r="H2" s="5">
        <v>650</v>
      </c>
      <c r="I2" s="5">
        <v>750</v>
      </c>
      <c r="J2" s="6">
        <v>900</v>
      </c>
      <c r="K2" s="7">
        <v>250</v>
      </c>
      <c r="L2" s="5">
        <v>350</v>
      </c>
      <c r="M2" s="5">
        <v>425</v>
      </c>
      <c r="N2" s="5">
        <v>475</v>
      </c>
      <c r="O2" s="5">
        <v>525</v>
      </c>
      <c r="P2" s="5">
        <v>575</v>
      </c>
      <c r="Q2" s="5">
        <v>650</v>
      </c>
      <c r="R2" s="5">
        <v>750</v>
      </c>
      <c r="S2" s="6">
        <v>900</v>
      </c>
      <c r="T2" s="7">
        <v>250</v>
      </c>
      <c r="U2" s="5">
        <v>350</v>
      </c>
      <c r="V2" s="5">
        <v>425</v>
      </c>
      <c r="W2" s="5">
        <v>475</v>
      </c>
      <c r="X2" s="5">
        <v>525</v>
      </c>
      <c r="Y2" s="5">
        <v>575</v>
      </c>
      <c r="Z2" s="5">
        <v>650</v>
      </c>
      <c r="AA2" s="5">
        <v>750</v>
      </c>
      <c r="AB2" s="6">
        <v>900</v>
      </c>
    </row>
    <row r="3" spans="1:28" x14ac:dyDescent="0.25">
      <c r="A3" s="7" t="s">
        <v>0</v>
      </c>
      <c r="B3" s="8">
        <v>0.7</v>
      </c>
      <c r="C3" s="8">
        <v>0.8</v>
      </c>
      <c r="D3" s="8">
        <v>0.8</v>
      </c>
      <c r="E3" s="8">
        <v>0.9</v>
      </c>
      <c r="F3" s="8">
        <v>0.9</v>
      </c>
      <c r="G3" s="8">
        <v>1</v>
      </c>
      <c r="H3" s="8">
        <v>1</v>
      </c>
      <c r="I3" s="8">
        <v>1</v>
      </c>
      <c r="J3" s="9">
        <v>1</v>
      </c>
      <c r="K3" s="13">
        <v>0.5</v>
      </c>
      <c r="L3" s="15">
        <v>0.6</v>
      </c>
      <c r="M3" s="15">
        <v>0.7</v>
      </c>
      <c r="N3" s="15">
        <v>0.7</v>
      </c>
      <c r="O3" s="15">
        <v>0.8</v>
      </c>
      <c r="P3" s="15">
        <v>0.9</v>
      </c>
      <c r="Q3" s="15">
        <v>0.9</v>
      </c>
      <c r="R3" s="15">
        <v>1</v>
      </c>
      <c r="S3" s="9">
        <v>1</v>
      </c>
      <c r="T3" s="13">
        <v>0.3</v>
      </c>
      <c r="U3" s="15">
        <v>0.4</v>
      </c>
      <c r="V3" s="15">
        <v>0.5</v>
      </c>
      <c r="W3" s="15">
        <v>0.7</v>
      </c>
      <c r="X3" s="15">
        <v>0.8</v>
      </c>
      <c r="Y3" s="15">
        <v>0.8</v>
      </c>
      <c r="Z3" s="15">
        <v>0.9</v>
      </c>
      <c r="AA3" s="15">
        <v>1</v>
      </c>
      <c r="AB3" s="9">
        <v>1</v>
      </c>
    </row>
    <row r="4" spans="1:28" x14ac:dyDescent="0.25">
      <c r="A4" s="7" t="s">
        <v>1</v>
      </c>
      <c r="B4" s="8">
        <v>0.6</v>
      </c>
      <c r="C4" s="8">
        <v>0.7</v>
      </c>
      <c r="D4" s="8">
        <v>0.7</v>
      </c>
      <c r="E4" s="8">
        <v>0.8</v>
      </c>
      <c r="F4" s="8">
        <v>0.8</v>
      </c>
      <c r="G4" s="8">
        <v>1</v>
      </c>
      <c r="H4" s="8">
        <v>1</v>
      </c>
      <c r="I4" s="8">
        <v>1</v>
      </c>
      <c r="J4" s="9">
        <v>1</v>
      </c>
      <c r="K4" s="13">
        <v>0.4</v>
      </c>
      <c r="L4" s="15">
        <v>0.5</v>
      </c>
      <c r="M4" s="15">
        <v>0.6</v>
      </c>
      <c r="N4" s="15">
        <v>0.7</v>
      </c>
      <c r="O4" s="15">
        <v>0.7</v>
      </c>
      <c r="P4" s="15">
        <v>0.8</v>
      </c>
      <c r="Q4" s="15">
        <v>0.9</v>
      </c>
      <c r="R4" s="15">
        <v>1</v>
      </c>
      <c r="S4" s="9">
        <v>1</v>
      </c>
      <c r="T4" s="13">
        <v>0.2</v>
      </c>
      <c r="U4" s="15">
        <v>0.3</v>
      </c>
      <c r="V4" s="15">
        <v>0.4</v>
      </c>
      <c r="W4" s="15">
        <v>0.6</v>
      </c>
      <c r="X4" s="15">
        <v>0.7</v>
      </c>
      <c r="Y4" s="15">
        <v>0.7</v>
      </c>
      <c r="Z4" s="15">
        <v>0.8</v>
      </c>
      <c r="AA4" s="15">
        <v>0.9</v>
      </c>
      <c r="AB4" s="9">
        <v>1</v>
      </c>
    </row>
    <row r="5" spans="1:28" x14ac:dyDescent="0.25">
      <c r="A5" s="7" t="s">
        <v>2</v>
      </c>
      <c r="B5" s="8">
        <v>0.5</v>
      </c>
      <c r="C5" s="8">
        <v>0.6</v>
      </c>
      <c r="D5" s="8">
        <v>0.7</v>
      </c>
      <c r="E5" s="8">
        <v>0.8</v>
      </c>
      <c r="F5" s="8">
        <v>0.9</v>
      </c>
      <c r="G5" s="8">
        <v>1</v>
      </c>
      <c r="H5" s="8">
        <v>1</v>
      </c>
      <c r="I5" s="8">
        <v>1</v>
      </c>
      <c r="J5" s="9">
        <v>0.9</v>
      </c>
      <c r="K5" s="13">
        <v>0.4</v>
      </c>
      <c r="L5" s="15">
        <v>0.5</v>
      </c>
      <c r="M5" s="15">
        <v>0.7</v>
      </c>
      <c r="N5" s="15">
        <v>0.8</v>
      </c>
      <c r="O5" s="15">
        <v>0.9</v>
      </c>
      <c r="P5" s="15">
        <v>1</v>
      </c>
      <c r="Q5" s="15">
        <v>1</v>
      </c>
      <c r="R5" s="15">
        <v>0.9</v>
      </c>
      <c r="S5" s="9">
        <v>0.8</v>
      </c>
      <c r="T5" s="13">
        <v>0.3</v>
      </c>
      <c r="U5" s="15">
        <v>0.4</v>
      </c>
      <c r="V5" s="15">
        <v>0.6</v>
      </c>
      <c r="W5" s="15">
        <v>0.7</v>
      </c>
      <c r="X5" s="15">
        <v>0.8</v>
      </c>
      <c r="Y5" s="15">
        <v>0.9</v>
      </c>
      <c r="Z5" s="15">
        <v>1</v>
      </c>
      <c r="AA5" s="15">
        <v>1</v>
      </c>
      <c r="AB5" s="9">
        <v>1</v>
      </c>
    </row>
    <row r="6" spans="1:28" x14ac:dyDescent="0.25">
      <c r="A6" s="7" t="s">
        <v>3</v>
      </c>
      <c r="B6" s="8">
        <v>0.5</v>
      </c>
      <c r="C6" s="8">
        <v>0.6</v>
      </c>
      <c r="D6" s="8">
        <v>0.8</v>
      </c>
      <c r="E6" s="8">
        <v>1</v>
      </c>
      <c r="F6" s="8">
        <v>1</v>
      </c>
      <c r="G6" s="8">
        <v>1</v>
      </c>
      <c r="H6" s="8">
        <v>1</v>
      </c>
      <c r="I6" s="8">
        <v>0.9</v>
      </c>
      <c r="J6" s="9">
        <v>0.7</v>
      </c>
      <c r="K6" s="13">
        <v>0.5</v>
      </c>
      <c r="L6" s="15">
        <v>0.6</v>
      </c>
      <c r="M6" s="15">
        <v>0.7</v>
      </c>
      <c r="N6" s="15">
        <v>0.9</v>
      </c>
      <c r="O6" s="15">
        <v>1</v>
      </c>
      <c r="P6" s="15">
        <v>1</v>
      </c>
      <c r="Q6" s="15">
        <v>1</v>
      </c>
      <c r="R6" s="15">
        <v>0.8</v>
      </c>
      <c r="S6" s="9">
        <v>0.8</v>
      </c>
      <c r="T6" s="13">
        <v>0.4</v>
      </c>
      <c r="U6" s="15">
        <v>0.5</v>
      </c>
      <c r="V6" s="15">
        <v>0.7</v>
      </c>
      <c r="W6" s="15">
        <v>0.8</v>
      </c>
      <c r="X6" s="15">
        <v>0.9</v>
      </c>
      <c r="Y6" s="15">
        <v>1</v>
      </c>
      <c r="Z6" s="15">
        <v>1</v>
      </c>
      <c r="AA6" s="15">
        <v>1</v>
      </c>
      <c r="AB6" s="9">
        <v>1</v>
      </c>
    </row>
    <row r="7" spans="1:28" x14ac:dyDescent="0.25">
      <c r="A7" s="7" t="s">
        <v>4</v>
      </c>
      <c r="B7" s="8">
        <v>0.6</v>
      </c>
      <c r="C7" s="8">
        <v>0.7</v>
      </c>
      <c r="D7" s="8">
        <v>0.9</v>
      </c>
      <c r="E7" s="8">
        <v>0.9</v>
      </c>
      <c r="F7" s="8">
        <v>1</v>
      </c>
      <c r="G7" s="8">
        <v>1</v>
      </c>
      <c r="H7" s="8">
        <v>1</v>
      </c>
      <c r="I7" s="8">
        <v>0.8</v>
      </c>
      <c r="J7" s="9">
        <v>0.7</v>
      </c>
      <c r="K7" s="13">
        <v>0.6</v>
      </c>
      <c r="L7" s="15">
        <v>0.7</v>
      </c>
      <c r="M7" s="15">
        <v>0.8</v>
      </c>
      <c r="N7" s="15">
        <v>0.8</v>
      </c>
      <c r="O7" s="15">
        <v>0.9</v>
      </c>
      <c r="P7" s="15">
        <v>1</v>
      </c>
      <c r="Q7" s="15">
        <v>1</v>
      </c>
      <c r="R7" s="15">
        <v>0.9</v>
      </c>
      <c r="S7" s="9">
        <v>0.8</v>
      </c>
      <c r="T7" s="13">
        <v>0.5</v>
      </c>
      <c r="U7" s="15">
        <v>0.6</v>
      </c>
      <c r="V7" s="15">
        <v>0.7</v>
      </c>
      <c r="W7" s="15">
        <v>0.8</v>
      </c>
      <c r="X7" s="15">
        <v>0.9</v>
      </c>
      <c r="Y7" s="15">
        <v>0.9</v>
      </c>
      <c r="Z7" s="15">
        <v>1</v>
      </c>
      <c r="AA7" s="15">
        <v>1</v>
      </c>
      <c r="AB7" s="9">
        <v>1</v>
      </c>
    </row>
    <row r="8" spans="1:28" x14ac:dyDescent="0.25">
      <c r="A8" s="7" t="s">
        <v>5</v>
      </c>
      <c r="B8" s="8">
        <v>0.5</v>
      </c>
      <c r="C8" s="8">
        <v>0.6</v>
      </c>
      <c r="D8" s="8">
        <v>0.8</v>
      </c>
      <c r="E8" s="8">
        <v>0.9</v>
      </c>
      <c r="F8" s="8">
        <v>1</v>
      </c>
      <c r="G8" s="8">
        <v>1</v>
      </c>
      <c r="H8" s="8">
        <v>0.9</v>
      </c>
      <c r="I8" s="8">
        <v>0.8</v>
      </c>
      <c r="J8" s="9">
        <v>0.4</v>
      </c>
      <c r="K8" s="13">
        <v>0.6</v>
      </c>
      <c r="L8" s="15">
        <v>0.7</v>
      </c>
      <c r="M8" s="15">
        <v>0.9</v>
      </c>
      <c r="N8" s="15">
        <v>1</v>
      </c>
      <c r="O8" s="15">
        <v>1</v>
      </c>
      <c r="P8" s="15">
        <v>1</v>
      </c>
      <c r="Q8" s="15">
        <v>0.9</v>
      </c>
      <c r="R8" s="15">
        <v>0.8</v>
      </c>
      <c r="S8" s="9">
        <v>0.7</v>
      </c>
      <c r="T8" s="13">
        <v>0.5</v>
      </c>
      <c r="U8" s="15">
        <v>0.6</v>
      </c>
      <c r="V8" s="15">
        <v>0.8</v>
      </c>
      <c r="W8" s="15">
        <v>0.9</v>
      </c>
      <c r="X8" s="15">
        <v>1</v>
      </c>
      <c r="Y8" s="15">
        <v>1</v>
      </c>
      <c r="Z8" s="15">
        <v>1</v>
      </c>
      <c r="AA8" s="15">
        <v>1</v>
      </c>
      <c r="AB8" s="9">
        <v>1</v>
      </c>
    </row>
    <row r="9" spans="1:28" x14ac:dyDescent="0.25">
      <c r="A9" s="7" t="s">
        <v>6</v>
      </c>
      <c r="B9" s="8">
        <v>0.6</v>
      </c>
      <c r="C9" s="8">
        <v>0.7</v>
      </c>
      <c r="D9" s="8">
        <v>0.9</v>
      </c>
      <c r="E9" s="8">
        <v>1</v>
      </c>
      <c r="F9" s="8">
        <v>1</v>
      </c>
      <c r="G9" s="8">
        <v>1</v>
      </c>
      <c r="H9" s="8">
        <v>0.8</v>
      </c>
      <c r="I9" s="8">
        <v>0.6</v>
      </c>
      <c r="J9" s="9">
        <v>0.3</v>
      </c>
      <c r="K9" s="13">
        <v>0.6</v>
      </c>
      <c r="L9" s="15">
        <v>0.7</v>
      </c>
      <c r="M9" s="15">
        <v>1</v>
      </c>
      <c r="N9" s="15">
        <v>1</v>
      </c>
      <c r="O9" s="15">
        <v>1</v>
      </c>
      <c r="P9" s="15">
        <v>1</v>
      </c>
      <c r="Q9" s="15">
        <v>0.9</v>
      </c>
      <c r="R9" s="15">
        <v>0.8</v>
      </c>
      <c r="S9" s="9">
        <v>0.7</v>
      </c>
      <c r="T9" s="13">
        <v>0.6</v>
      </c>
      <c r="U9" s="15">
        <v>0.7</v>
      </c>
      <c r="V9" s="15">
        <v>0.9</v>
      </c>
      <c r="W9" s="15">
        <v>1</v>
      </c>
      <c r="X9" s="15">
        <v>1</v>
      </c>
      <c r="Y9" s="15">
        <v>1</v>
      </c>
      <c r="Z9" s="15">
        <v>1</v>
      </c>
      <c r="AA9" s="15">
        <v>1</v>
      </c>
      <c r="AB9" s="9">
        <v>1</v>
      </c>
    </row>
    <row r="10" spans="1:28" x14ac:dyDescent="0.25">
      <c r="A10" s="7" t="s">
        <v>7</v>
      </c>
      <c r="B10" s="8">
        <v>0.5</v>
      </c>
      <c r="C10" s="8">
        <v>0.6</v>
      </c>
      <c r="D10" s="8">
        <v>0.8</v>
      </c>
      <c r="E10" s="8">
        <v>0.9</v>
      </c>
      <c r="F10" s="8">
        <v>1</v>
      </c>
      <c r="G10" s="8">
        <v>1</v>
      </c>
      <c r="H10" s="8">
        <v>0.8</v>
      </c>
      <c r="I10" s="8">
        <v>0.6</v>
      </c>
      <c r="J10" s="9">
        <v>0.3</v>
      </c>
      <c r="K10" s="13">
        <v>0.5</v>
      </c>
      <c r="L10" s="15">
        <v>0.6</v>
      </c>
      <c r="M10" s="15">
        <v>0.8</v>
      </c>
      <c r="N10" s="15">
        <v>1</v>
      </c>
      <c r="O10" s="15">
        <v>1</v>
      </c>
      <c r="P10" s="15">
        <v>1</v>
      </c>
      <c r="Q10" s="15">
        <v>1</v>
      </c>
      <c r="R10" s="15">
        <v>0.9</v>
      </c>
      <c r="S10" s="9">
        <v>0.8</v>
      </c>
      <c r="T10" s="13">
        <v>0.5</v>
      </c>
      <c r="U10" s="15">
        <v>0.6</v>
      </c>
      <c r="V10" s="15">
        <v>0.8</v>
      </c>
      <c r="W10" s="15">
        <v>0.9</v>
      </c>
      <c r="X10" s="15">
        <v>1</v>
      </c>
      <c r="Y10" s="15">
        <v>1</v>
      </c>
      <c r="Z10" s="15">
        <v>1</v>
      </c>
      <c r="AA10" s="15">
        <v>1</v>
      </c>
      <c r="AB10" s="9">
        <v>1</v>
      </c>
    </row>
    <row r="11" spans="1:28" x14ac:dyDescent="0.25">
      <c r="A11" s="7" t="s">
        <v>8</v>
      </c>
      <c r="B11" s="8">
        <v>0.8</v>
      </c>
      <c r="C11" s="8">
        <v>0.9</v>
      </c>
      <c r="D11" s="8">
        <v>1</v>
      </c>
      <c r="E11" s="8">
        <v>1</v>
      </c>
      <c r="F11" s="8">
        <v>1</v>
      </c>
      <c r="G11" s="8">
        <v>1</v>
      </c>
      <c r="H11" s="8">
        <v>0.8</v>
      </c>
      <c r="I11" s="8">
        <v>0.6</v>
      </c>
      <c r="J11" s="9">
        <v>0.3</v>
      </c>
      <c r="K11" s="13">
        <v>0.8</v>
      </c>
      <c r="L11" s="15">
        <v>0.9</v>
      </c>
      <c r="M11" s="15">
        <v>0.9</v>
      </c>
      <c r="N11" s="15">
        <v>1</v>
      </c>
      <c r="O11" s="15">
        <v>1</v>
      </c>
      <c r="P11" s="15">
        <v>1</v>
      </c>
      <c r="Q11" s="15">
        <v>0.9</v>
      </c>
      <c r="R11" s="15">
        <v>0.8</v>
      </c>
      <c r="S11" s="9">
        <v>0.4</v>
      </c>
      <c r="T11" s="13">
        <v>0.5</v>
      </c>
      <c r="U11" s="15">
        <v>0.6</v>
      </c>
      <c r="V11" s="15">
        <v>0.8</v>
      </c>
      <c r="W11" s="15">
        <v>0.9</v>
      </c>
      <c r="X11" s="15">
        <v>1</v>
      </c>
      <c r="Y11" s="15">
        <v>1</v>
      </c>
      <c r="Z11" s="15">
        <v>1</v>
      </c>
      <c r="AA11" s="15">
        <v>1</v>
      </c>
      <c r="AB11" s="9">
        <v>0.9</v>
      </c>
    </row>
    <row r="12" spans="1:28" x14ac:dyDescent="0.25">
      <c r="A12" s="7" t="s">
        <v>9</v>
      </c>
      <c r="B12" s="8">
        <v>0.9</v>
      </c>
      <c r="C12" s="8">
        <v>1</v>
      </c>
      <c r="D12" s="8">
        <v>1</v>
      </c>
      <c r="E12" s="8">
        <v>1</v>
      </c>
      <c r="F12" s="8">
        <v>1</v>
      </c>
      <c r="G12" s="8">
        <v>0.8</v>
      </c>
      <c r="H12" s="8">
        <v>0.6</v>
      </c>
      <c r="I12" s="8">
        <v>0.4</v>
      </c>
      <c r="J12" s="9">
        <v>0.3</v>
      </c>
      <c r="K12" s="13">
        <v>0.8</v>
      </c>
      <c r="L12" s="15">
        <v>0.9</v>
      </c>
      <c r="M12" s="15">
        <v>1</v>
      </c>
      <c r="N12" s="15">
        <v>1</v>
      </c>
      <c r="O12" s="15">
        <v>1</v>
      </c>
      <c r="P12" s="15">
        <v>0.9</v>
      </c>
      <c r="Q12" s="15">
        <v>0.7</v>
      </c>
      <c r="R12" s="15">
        <v>0.6</v>
      </c>
      <c r="S12" s="9">
        <v>0.2</v>
      </c>
      <c r="T12" s="13">
        <v>0.4</v>
      </c>
      <c r="U12" s="15">
        <v>0.5</v>
      </c>
      <c r="V12" s="15">
        <v>0.8</v>
      </c>
      <c r="W12" s="15">
        <v>0.9</v>
      </c>
      <c r="X12" s="15">
        <v>1</v>
      </c>
      <c r="Y12" s="15">
        <v>1</v>
      </c>
      <c r="Z12" s="15">
        <v>1</v>
      </c>
      <c r="AA12" s="15">
        <v>0.9</v>
      </c>
      <c r="AB12" s="9">
        <v>0.8</v>
      </c>
    </row>
    <row r="13" spans="1:28" x14ac:dyDescent="0.25">
      <c r="A13" s="7" t="s">
        <v>10</v>
      </c>
      <c r="B13" s="8">
        <v>0.6</v>
      </c>
      <c r="C13" s="8">
        <v>0.7</v>
      </c>
      <c r="D13" s="8">
        <v>0.8</v>
      </c>
      <c r="E13" s="8">
        <v>0.9</v>
      </c>
      <c r="F13" s="8">
        <v>1</v>
      </c>
      <c r="G13" s="8">
        <v>0.9</v>
      </c>
      <c r="H13" s="8">
        <v>0.8</v>
      </c>
      <c r="I13" s="8">
        <v>0.7</v>
      </c>
      <c r="J13" s="9">
        <v>0.6</v>
      </c>
      <c r="K13" s="13">
        <v>0.7</v>
      </c>
      <c r="L13" s="15">
        <v>0.8</v>
      </c>
      <c r="M13" s="15">
        <v>0.9</v>
      </c>
      <c r="N13" s="15">
        <v>1</v>
      </c>
      <c r="O13" s="15">
        <v>1</v>
      </c>
      <c r="P13" s="15">
        <v>1</v>
      </c>
      <c r="Q13" s="15">
        <v>0.9</v>
      </c>
      <c r="R13" s="15">
        <v>0.8</v>
      </c>
      <c r="S13" s="9">
        <v>0.7</v>
      </c>
      <c r="T13" s="13">
        <v>0.7</v>
      </c>
      <c r="U13" s="15">
        <v>0.8</v>
      </c>
      <c r="V13" s="15">
        <v>0.8</v>
      </c>
      <c r="W13" s="15">
        <v>0.9</v>
      </c>
      <c r="X13" s="15">
        <v>0.9</v>
      </c>
      <c r="Y13" s="15">
        <v>1</v>
      </c>
      <c r="Z13" s="15">
        <v>1</v>
      </c>
      <c r="AA13" s="15">
        <v>1</v>
      </c>
      <c r="AB13" s="9">
        <v>1</v>
      </c>
    </row>
    <row r="14" spans="1:28" x14ac:dyDescent="0.25">
      <c r="A14" s="7" t="s">
        <v>11</v>
      </c>
      <c r="B14" s="8">
        <v>0.6</v>
      </c>
      <c r="C14" s="8">
        <v>0.7</v>
      </c>
      <c r="D14" s="8">
        <v>0.8</v>
      </c>
      <c r="E14" s="8">
        <v>0.9</v>
      </c>
      <c r="F14" s="8">
        <v>1</v>
      </c>
      <c r="G14" s="8">
        <v>0.9</v>
      </c>
      <c r="H14" s="8">
        <v>0.8</v>
      </c>
      <c r="I14" s="8">
        <v>0.7</v>
      </c>
      <c r="J14" s="9">
        <v>0.6</v>
      </c>
      <c r="K14" s="13">
        <v>0.7</v>
      </c>
      <c r="L14" s="15">
        <v>0.8</v>
      </c>
      <c r="M14" s="15">
        <v>0.9</v>
      </c>
      <c r="N14" s="15">
        <v>1</v>
      </c>
      <c r="O14" s="15">
        <v>1</v>
      </c>
      <c r="P14" s="15">
        <v>1</v>
      </c>
      <c r="Q14" s="15">
        <v>0.9</v>
      </c>
      <c r="R14" s="15">
        <v>0.8</v>
      </c>
      <c r="S14" s="9">
        <v>0.7</v>
      </c>
      <c r="T14" s="13">
        <v>0.7</v>
      </c>
      <c r="U14" s="15">
        <v>0.8</v>
      </c>
      <c r="V14" s="15">
        <v>0.8</v>
      </c>
      <c r="W14" s="15">
        <v>0.9</v>
      </c>
      <c r="X14" s="15">
        <v>0.9</v>
      </c>
      <c r="Y14" s="15">
        <v>1</v>
      </c>
      <c r="Z14" s="15">
        <v>1</v>
      </c>
      <c r="AA14" s="15">
        <v>1</v>
      </c>
      <c r="AB14" s="9">
        <v>1</v>
      </c>
    </row>
    <row r="15" spans="1:28" x14ac:dyDescent="0.25">
      <c r="A15" s="7" t="s">
        <v>12</v>
      </c>
      <c r="B15" s="8">
        <v>0.6</v>
      </c>
      <c r="C15" s="8">
        <v>0.7</v>
      </c>
      <c r="D15" s="8">
        <v>0.8</v>
      </c>
      <c r="E15" s="8">
        <v>0.9</v>
      </c>
      <c r="F15" s="8">
        <v>1</v>
      </c>
      <c r="G15" s="8">
        <v>0.9</v>
      </c>
      <c r="H15" s="8">
        <v>0.8</v>
      </c>
      <c r="I15" s="8">
        <v>0.7</v>
      </c>
      <c r="J15" s="9">
        <v>0.6</v>
      </c>
      <c r="K15" s="13">
        <v>0.7</v>
      </c>
      <c r="L15" s="15">
        <v>0.8</v>
      </c>
      <c r="M15" s="15">
        <v>0.9</v>
      </c>
      <c r="N15" s="15">
        <v>0.9</v>
      </c>
      <c r="O15" s="15">
        <v>1</v>
      </c>
      <c r="P15" s="15">
        <v>1</v>
      </c>
      <c r="Q15" s="15">
        <v>1</v>
      </c>
      <c r="R15" s="15">
        <v>0.9</v>
      </c>
      <c r="S15" s="9">
        <v>0.8</v>
      </c>
      <c r="T15" s="13">
        <v>0.6</v>
      </c>
      <c r="U15" s="15">
        <v>0.7</v>
      </c>
      <c r="V15" s="15">
        <v>0.8</v>
      </c>
      <c r="W15" s="15">
        <v>0.8</v>
      </c>
      <c r="X15" s="15">
        <v>0.9</v>
      </c>
      <c r="Y15" s="15">
        <v>1</v>
      </c>
      <c r="Z15" s="15">
        <v>1</v>
      </c>
      <c r="AA15" s="15">
        <v>1</v>
      </c>
      <c r="AB15" s="9"/>
    </row>
    <row r="16" spans="1:28" x14ac:dyDescent="0.25">
      <c r="A16" s="7" t="s">
        <v>13</v>
      </c>
      <c r="B16" s="8">
        <v>0.6</v>
      </c>
      <c r="C16" s="8">
        <v>0.7</v>
      </c>
      <c r="D16" s="8">
        <v>0.8</v>
      </c>
      <c r="E16" s="8">
        <v>0.9</v>
      </c>
      <c r="F16" s="8">
        <v>1</v>
      </c>
      <c r="G16" s="8">
        <v>0.8</v>
      </c>
      <c r="H16" s="8">
        <v>0.7</v>
      </c>
      <c r="I16" s="8">
        <v>0.5</v>
      </c>
      <c r="J16" s="9">
        <v>0.3</v>
      </c>
      <c r="K16" s="13">
        <v>0.7</v>
      </c>
      <c r="L16" s="15">
        <v>0.8</v>
      </c>
      <c r="M16" s="15">
        <v>0.9</v>
      </c>
      <c r="N16" s="15">
        <v>1</v>
      </c>
      <c r="O16" s="15">
        <v>1</v>
      </c>
      <c r="P16" s="15">
        <v>0.9</v>
      </c>
      <c r="Q16" s="15">
        <v>0.8</v>
      </c>
      <c r="R16" s="15">
        <v>0.8</v>
      </c>
      <c r="S16" s="9">
        <v>0.7</v>
      </c>
      <c r="T16" s="13">
        <v>0.7</v>
      </c>
      <c r="U16" s="15">
        <v>0.8</v>
      </c>
      <c r="V16" s="15">
        <v>0.8</v>
      </c>
      <c r="W16" s="15">
        <v>0.9</v>
      </c>
      <c r="X16" s="15">
        <v>0.9</v>
      </c>
      <c r="Y16" s="15">
        <v>1</v>
      </c>
      <c r="Z16" s="15">
        <v>1</v>
      </c>
      <c r="AA16" s="15">
        <v>1</v>
      </c>
      <c r="AB16" s="9">
        <v>1</v>
      </c>
    </row>
    <row r="17" spans="1:28" x14ac:dyDescent="0.25">
      <c r="A17" s="7" t="s">
        <v>14</v>
      </c>
      <c r="B17" s="8">
        <v>0.7</v>
      </c>
      <c r="C17" s="8">
        <v>0.8</v>
      </c>
      <c r="D17" s="8">
        <v>0.9</v>
      </c>
      <c r="E17" s="8">
        <v>0.9</v>
      </c>
      <c r="F17" s="8">
        <v>1</v>
      </c>
      <c r="G17" s="8">
        <v>1</v>
      </c>
      <c r="H17" s="8">
        <v>0.9</v>
      </c>
      <c r="I17" s="8">
        <v>0.9</v>
      </c>
      <c r="J17" s="9">
        <v>0.8</v>
      </c>
      <c r="K17" s="13">
        <v>0.6</v>
      </c>
      <c r="L17" s="15">
        <v>0.7</v>
      </c>
      <c r="M17" s="15">
        <v>0.7</v>
      </c>
      <c r="N17" s="15">
        <v>0.8</v>
      </c>
      <c r="O17" s="15">
        <v>0.9</v>
      </c>
      <c r="P17" s="15">
        <v>1</v>
      </c>
      <c r="Q17" s="15">
        <v>0.9</v>
      </c>
      <c r="R17" s="15">
        <v>0.8</v>
      </c>
      <c r="S17" s="9">
        <v>0.7</v>
      </c>
      <c r="T17" s="13">
        <v>0.4</v>
      </c>
      <c r="U17" s="15">
        <v>0.5</v>
      </c>
      <c r="V17" s="15">
        <v>0.7</v>
      </c>
      <c r="W17" s="15">
        <v>0.7</v>
      </c>
      <c r="X17" s="15">
        <v>0.8</v>
      </c>
      <c r="Y17" s="15">
        <v>0.9</v>
      </c>
      <c r="Z17" s="15">
        <v>1</v>
      </c>
      <c r="AA17" s="15">
        <v>1</v>
      </c>
      <c r="AB17" s="9">
        <v>1</v>
      </c>
    </row>
    <row r="18" spans="1:28" x14ac:dyDescent="0.25">
      <c r="A18" s="7" t="s">
        <v>15</v>
      </c>
      <c r="B18" s="8">
        <v>0.7</v>
      </c>
      <c r="C18" s="8">
        <v>0.8</v>
      </c>
      <c r="D18" s="8">
        <v>0.9</v>
      </c>
      <c r="E18" s="8">
        <v>0.9</v>
      </c>
      <c r="F18" s="8">
        <v>1</v>
      </c>
      <c r="G18" s="8">
        <v>1</v>
      </c>
      <c r="H18" s="8">
        <v>1</v>
      </c>
      <c r="I18" s="8">
        <v>1</v>
      </c>
      <c r="J18" s="9">
        <v>0.8</v>
      </c>
      <c r="K18" s="13">
        <v>0.7</v>
      </c>
      <c r="L18" s="15">
        <v>0.8</v>
      </c>
      <c r="M18" s="15">
        <v>0.9</v>
      </c>
      <c r="N18" s="15">
        <v>0.9</v>
      </c>
      <c r="O18" s="15">
        <v>1</v>
      </c>
      <c r="P18" s="15">
        <v>1</v>
      </c>
      <c r="Q18" s="15">
        <v>1</v>
      </c>
      <c r="R18" s="15">
        <v>0.9</v>
      </c>
      <c r="S18" s="9">
        <v>0.7</v>
      </c>
      <c r="T18" s="13">
        <v>0.4</v>
      </c>
      <c r="U18" s="15">
        <v>0.5</v>
      </c>
      <c r="V18" s="15">
        <v>0.6</v>
      </c>
      <c r="W18" s="15">
        <v>0.7</v>
      </c>
      <c r="X18" s="15">
        <v>0.9</v>
      </c>
      <c r="Y18" s="15">
        <v>0.9</v>
      </c>
      <c r="Z18" s="15">
        <v>1</v>
      </c>
      <c r="AA18" s="15">
        <v>1</v>
      </c>
      <c r="AB18" s="9">
        <v>1</v>
      </c>
    </row>
    <row r="19" spans="1:28" x14ac:dyDescent="0.25">
      <c r="A19" s="7" t="s">
        <v>16</v>
      </c>
      <c r="B19" s="8">
        <v>0.6</v>
      </c>
      <c r="C19" s="8">
        <v>0.7</v>
      </c>
      <c r="D19" s="8">
        <v>0.8</v>
      </c>
      <c r="E19" s="8">
        <v>1</v>
      </c>
      <c r="F19" s="8">
        <v>0.9</v>
      </c>
      <c r="G19" s="8">
        <v>0.8</v>
      </c>
      <c r="H19" s="8">
        <v>0.8</v>
      </c>
      <c r="I19" s="8">
        <v>0.8</v>
      </c>
      <c r="J19" s="9">
        <v>0.5</v>
      </c>
      <c r="K19" s="13">
        <v>0.7</v>
      </c>
      <c r="L19" s="15">
        <v>0.8</v>
      </c>
      <c r="M19" s="15">
        <v>0.9</v>
      </c>
      <c r="N19" s="15">
        <v>0.9</v>
      </c>
      <c r="O19" s="15">
        <v>1</v>
      </c>
      <c r="P19" s="15">
        <v>1</v>
      </c>
      <c r="Q19" s="15">
        <v>0.9</v>
      </c>
      <c r="R19" s="15">
        <v>0.8</v>
      </c>
      <c r="S19" s="9">
        <v>0.7</v>
      </c>
      <c r="T19" s="13">
        <v>0.7</v>
      </c>
      <c r="U19" s="15">
        <v>0.8</v>
      </c>
      <c r="V19" s="15">
        <v>0.8</v>
      </c>
      <c r="W19" s="15">
        <v>0.9</v>
      </c>
      <c r="X19" s="15">
        <v>0.9</v>
      </c>
      <c r="Y19" s="15">
        <v>1</v>
      </c>
      <c r="Z19" s="15">
        <v>1</v>
      </c>
      <c r="AA19" s="15">
        <v>0.9</v>
      </c>
      <c r="AB19" s="9">
        <v>0.8</v>
      </c>
    </row>
    <row r="20" spans="1:28" x14ac:dyDescent="0.25">
      <c r="A20" s="7" t="s">
        <v>17</v>
      </c>
      <c r="B20" s="8">
        <v>0.6</v>
      </c>
      <c r="C20" s="8">
        <v>0.7</v>
      </c>
      <c r="D20" s="8">
        <v>0.8</v>
      </c>
      <c r="E20" s="8">
        <v>0.9</v>
      </c>
      <c r="F20" s="8">
        <v>1</v>
      </c>
      <c r="G20" s="8">
        <v>0.9</v>
      </c>
      <c r="H20" s="8">
        <v>0.9</v>
      </c>
      <c r="I20" s="8">
        <v>0.9</v>
      </c>
      <c r="J20" s="9">
        <v>0.7</v>
      </c>
      <c r="K20" s="13">
        <v>0.7</v>
      </c>
      <c r="L20" s="15">
        <v>0.8</v>
      </c>
      <c r="M20" s="15">
        <v>0.9</v>
      </c>
      <c r="N20" s="15">
        <v>0.9</v>
      </c>
      <c r="O20" s="15">
        <v>1</v>
      </c>
      <c r="P20" s="15">
        <v>1</v>
      </c>
      <c r="Q20" s="15">
        <v>0.9</v>
      </c>
      <c r="R20" s="15">
        <v>0.8</v>
      </c>
      <c r="S20" s="9">
        <v>0.7</v>
      </c>
      <c r="T20" s="13">
        <v>0.7</v>
      </c>
      <c r="U20" s="15">
        <v>0.8</v>
      </c>
      <c r="V20" s="15">
        <v>0.8</v>
      </c>
      <c r="W20" s="15">
        <v>0.9</v>
      </c>
      <c r="X20" s="15">
        <v>0.9</v>
      </c>
      <c r="Y20" s="15">
        <v>1</v>
      </c>
      <c r="Z20" s="15">
        <v>1</v>
      </c>
      <c r="AA20" s="15">
        <v>1</v>
      </c>
      <c r="AB20" s="9">
        <v>1</v>
      </c>
    </row>
    <row r="21" spans="1:28" x14ac:dyDescent="0.25">
      <c r="A21" s="7" t="s">
        <v>18</v>
      </c>
      <c r="B21" s="8">
        <v>0.8</v>
      </c>
      <c r="C21" s="8">
        <v>0.9</v>
      </c>
      <c r="D21" s="8">
        <v>1</v>
      </c>
      <c r="E21" s="8">
        <v>1</v>
      </c>
      <c r="F21" s="8">
        <v>1</v>
      </c>
      <c r="G21" s="8">
        <v>0.9</v>
      </c>
      <c r="H21" s="8">
        <v>0.8</v>
      </c>
      <c r="I21" s="8">
        <v>0.8</v>
      </c>
      <c r="J21" s="9">
        <v>0.5</v>
      </c>
      <c r="K21" s="13">
        <v>0.8</v>
      </c>
      <c r="L21" s="15">
        <v>0.9</v>
      </c>
      <c r="M21" s="15">
        <v>1</v>
      </c>
      <c r="N21" s="15">
        <v>1</v>
      </c>
      <c r="O21" s="15">
        <v>1</v>
      </c>
      <c r="P21" s="15">
        <v>1</v>
      </c>
      <c r="Q21" s="15">
        <v>0.8</v>
      </c>
      <c r="R21" s="15">
        <v>0.8</v>
      </c>
      <c r="S21" s="9">
        <v>0.7</v>
      </c>
      <c r="T21" s="13">
        <v>0.7</v>
      </c>
      <c r="U21" s="15">
        <v>0.8</v>
      </c>
      <c r="V21" s="15">
        <v>0.8</v>
      </c>
      <c r="W21" s="15">
        <v>0.9</v>
      </c>
      <c r="X21" s="15">
        <v>0.9</v>
      </c>
      <c r="Y21" s="15">
        <v>1</v>
      </c>
      <c r="Z21" s="15">
        <v>1</v>
      </c>
      <c r="AA21" s="15">
        <v>1</v>
      </c>
      <c r="AB21" s="9">
        <v>1</v>
      </c>
    </row>
    <row r="22" spans="1:28" x14ac:dyDescent="0.25">
      <c r="A22" s="7" t="s">
        <v>19</v>
      </c>
      <c r="B22" s="8">
        <v>0.7</v>
      </c>
      <c r="C22" s="8">
        <v>0.8</v>
      </c>
      <c r="D22" s="8">
        <v>0.8</v>
      </c>
      <c r="E22" s="8">
        <v>0.9</v>
      </c>
      <c r="F22" s="8">
        <v>1</v>
      </c>
      <c r="G22" s="8">
        <v>1</v>
      </c>
      <c r="H22" s="8">
        <v>1</v>
      </c>
      <c r="I22" s="8">
        <v>1</v>
      </c>
      <c r="J22" s="9">
        <v>0.9</v>
      </c>
      <c r="K22" s="13">
        <v>0.7</v>
      </c>
      <c r="L22" s="15">
        <v>0.8</v>
      </c>
      <c r="M22" s="15">
        <v>0.8</v>
      </c>
      <c r="N22" s="15">
        <v>0.9</v>
      </c>
      <c r="O22" s="15">
        <v>1</v>
      </c>
      <c r="P22" s="15">
        <v>1</v>
      </c>
      <c r="Q22" s="15">
        <v>1</v>
      </c>
      <c r="R22" s="15">
        <v>0.9</v>
      </c>
      <c r="S22" s="9">
        <v>0.8</v>
      </c>
      <c r="T22" s="13">
        <v>0.5</v>
      </c>
      <c r="U22" s="15">
        <v>0.6</v>
      </c>
      <c r="V22" s="15">
        <v>0.7</v>
      </c>
      <c r="W22" s="15">
        <v>0.8</v>
      </c>
      <c r="X22" s="15">
        <v>0.9</v>
      </c>
      <c r="Y22" s="15">
        <v>0.9</v>
      </c>
      <c r="Z22" s="15">
        <v>1</v>
      </c>
      <c r="AA22" s="15">
        <v>1</v>
      </c>
      <c r="AB22" s="9">
        <v>1</v>
      </c>
    </row>
    <row r="23" spans="1:28" x14ac:dyDescent="0.25">
      <c r="A23" s="7" t="s">
        <v>20</v>
      </c>
      <c r="B23" s="8">
        <v>0.7</v>
      </c>
      <c r="C23" s="8">
        <v>0.8</v>
      </c>
      <c r="D23" s="8">
        <v>0.9</v>
      </c>
      <c r="E23" s="8">
        <v>1</v>
      </c>
      <c r="F23" s="8">
        <v>1</v>
      </c>
      <c r="G23" s="8">
        <v>0.9</v>
      </c>
      <c r="H23" s="8">
        <v>0.9</v>
      </c>
      <c r="I23" s="8">
        <v>0.9</v>
      </c>
      <c r="J23" s="9">
        <v>0.7</v>
      </c>
      <c r="K23" s="13">
        <v>0.7</v>
      </c>
      <c r="L23" s="15">
        <v>0.8</v>
      </c>
      <c r="M23" s="15">
        <v>0.8</v>
      </c>
      <c r="N23" s="15">
        <v>0.9</v>
      </c>
      <c r="O23" s="15">
        <v>1</v>
      </c>
      <c r="P23" s="15">
        <v>1</v>
      </c>
      <c r="Q23" s="15">
        <v>1</v>
      </c>
      <c r="R23" s="15">
        <v>0.9</v>
      </c>
      <c r="S23" s="9">
        <v>0.8</v>
      </c>
      <c r="T23" s="13">
        <v>0.6</v>
      </c>
      <c r="U23" s="15">
        <v>0.7</v>
      </c>
      <c r="V23" s="15">
        <v>0.8</v>
      </c>
      <c r="W23" s="15">
        <v>0.8</v>
      </c>
      <c r="X23" s="15">
        <v>0.9</v>
      </c>
      <c r="Y23" s="15">
        <v>1</v>
      </c>
      <c r="Z23" s="15">
        <v>1</v>
      </c>
      <c r="AA23" s="15">
        <v>1</v>
      </c>
      <c r="AB23" s="9">
        <v>1</v>
      </c>
    </row>
    <row r="24" spans="1:28" x14ac:dyDescent="0.25">
      <c r="A24" s="7" t="s">
        <v>21</v>
      </c>
      <c r="B24" s="8">
        <v>0.8</v>
      </c>
      <c r="C24" s="8">
        <v>0.9</v>
      </c>
      <c r="D24" s="8">
        <v>1</v>
      </c>
      <c r="E24" s="8">
        <v>1</v>
      </c>
      <c r="F24" s="8">
        <v>1</v>
      </c>
      <c r="G24" s="8">
        <v>0.9</v>
      </c>
      <c r="H24" s="8">
        <v>0.8</v>
      </c>
      <c r="I24" s="8">
        <v>0.8</v>
      </c>
      <c r="J24" s="9">
        <v>0.4</v>
      </c>
      <c r="K24" s="13">
        <v>0.7</v>
      </c>
      <c r="L24" s="15">
        <v>0.8</v>
      </c>
      <c r="M24" s="15">
        <v>0.9</v>
      </c>
      <c r="N24" s="15">
        <v>1</v>
      </c>
      <c r="O24" s="15">
        <v>1</v>
      </c>
      <c r="P24" s="15">
        <v>1</v>
      </c>
      <c r="Q24" s="15">
        <v>0.9</v>
      </c>
      <c r="R24" s="15">
        <v>0.8</v>
      </c>
      <c r="S24" s="9">
        <v>0.7</v>
      </c>
      <c r="T24" s="13">
        <v>0.7</v>
      </c>
      <c r="U24" s="15">
        <v>0.8</v>
      </c>
      <c r="V24" s="15">
        <v>0.8</v>
      </c>
      <c r="W24" s="15">
        <v>0.9</v>
      </c>
      <c r="X24" s="15">
        <v>0.9</v>
      </c>
      <c r="Y24" s="15">
        <v>1</v>
      </c>
      <c r="Z24" s="15">
        <v>1</v>
      </c>
      <c r="AA24" s="15">
        <v>1</v>
      </c>
      <c r="AB24" s="9">
        <v>1</v>
      </c>
    </row>
    <row r="25" spans="1:28" x14ac:dyDescent="0.25">
      <c r="A25" s="7" t="s">
        <v>22</v>
      </c>
      <c r="B25" s="8">
        <v>0.7</v>
      </c>
      <c r="C25" s="8">
        <v>0.8</v>
      </c>
      <c r="D25" s="8">
        <v>0.9</v>
      </c>
      <c r="E25" s="8">
        <v>1</v>
      </c>
      <c r="F25" s="8">
        <v>1</v>
      </c>
      <c r="G25" s="8">
        <v>1</v>
      </c>
      <c r="H25" s="8">
        <v>0.8</v>
      </c>
      <c r="I25" s="8">
        <v>0.8</v>
      </c>
      <c r="J25" s="9">
        <v>0.8</v>
      </c>
      <c r="K25" s="13">
        <v>0.6</v>
      </c>
      <c r="L25" s="15">
        <v>0.7</v>
      </c>
      <c r="M25" s="15">
        <v>0.7</v>
      </c>
      <c r="N25" s="15">
        <v>0.8</v>
      </c>
      <c r="O25" s="15">
        <v>0.9</v>
      </c>
      <c r="P25" s="15">
        <v>1</v>
      </c>
      <c r="Q25" s="15">
        <v>1</v>
      </c>
      <c r="R25" s="15">
        <v>0.9</v>
      </c>
      <c r="S25" s="9">
        <v>0.8</v>
      </c>
      <c r="T25" s="13">
        <v>0.5</v>
      </c>
      <c r="U25" s="15">
        <v>0.6</v>
      </c>
      <c r="V25" s="15">
        <v>0.7</v>
      </c>
      <c r="W25" s="15">
        <v>0.7</v>
      </c>
      <c r="X25" s="15">
        <v>0.8</v>
      </c>
      <c r="Y25" s="15">
        <v>0.9</v>
      </c>
      <c r="Z25" s="15">
        <v>1</v>
      </c>
      <c r="AA25" s="15">
        <v>1</v>
      </c>
      <c r="AB25" s="9">
        <v>1</v>
      </c>
    </row>
    <row r="26" spans="1:28" x14ac:dyDescent="0.25">
      <c r="A26" s="10" t="s">
        <v>23</v>
      </c>
      <c r="B26" s="11">
        <v>0.7</v>
      </c>
      <c r="C26" s="11">
        <v>0.8</v>
      </c>
      <c r="D26" s="11">
        <v>0.9</v>
      </c>
      <c r="E26" s="11">
        <v>1</v>
      </c>
      <c r="F26" s="11">
        <v>1</v>
      </c>
      <c r="G26" s="11">
        <v>1</v>
      </c>
      <c r="H26" s="11">
        <v>0.8</v>
      </c>
      <c r="I26" s="11">
        <v>0.8</v>
      </c>
      <c r="J26" s="12">
        <v>0.7</v>
      </c>
      <c r="K26" s="14">
        <v>0.7</v>
      </c>
      <c r="L26" s="11">
        <v>0.8</v>
      </c>
      <c r="M26" s="11">
        <v>0.9</v>
      </c>
      <c r="N26" s="11">
        <v>1</v>
      </c>
      <c r="O26" s="11">
        <v>1</v>
      </c>
      <c r="P26" s="16">
        <v>1</v>
      </c>
      <c r="Q26" s="11">
        <v>0.9</v>
      </c>
      <c r="R26" s="11">
        <v>0.8</v>
      </c>
      <c r="S26" s="12">
        <v>0.7</v>
      </c>
      <c r="T26" s="14">
        <v>0.7</v>
      </c>
      <c r="U26" s="11">
        <v>0.8</v>
      </c>
      <c r="V26" s="11">
        <v>0.8</v>
      </c>
      <c r="W26" s="11">
        <v>0.9</v>
      </c>
      <c r="X26" s="11">
        <v>0.9</v>
      </c>
      <c r="Y26" s="11">
        <v>1</v>
      </c>
      <c r="Z26" s="16">
        <v>1</v>
      </c>
      <c r="AA26" s="11">
        <v>1</v>
      </c>
      <c r="AB26" s="12">
        <v>1</v>
      </c>
    </row>
    <row r="30" spans="1:28" x14ac:dyDescent="0.25">
      <c r="A30" s="31"/>
    </row>
    <row r="31" spans="1:28" x14ac:dyDescent="0.25">
      <c r="A31" s="31"/>
    </row>
    <row r="32" spans="1:28" x14ac:dyDescent="0.25">
      <c r="A32" s="31"/>
    </row>
    <row r="33" spans="1:1" x14ac:dyDescent="0.25">
      <c r="A33" s="31"/>
    </row>
    <row r="34" spans="1:1" x14ac:dyDescent="0.25">
      <c r="A34" s="31"/>
    </row>
    <row r="1048576" spans="13:13" x14ac:dyDescent="0.25">
      <c r="M1048576" s="15">
        <v>0.9</v>
      </c>
    </row>
  </sheetData>
  <mergeCells count="4">
    <mergeCell ref="A1:A2"/>
    <mergeCell ref="B1:J1"/>
    <mergeCell ref="K1:S1"/>
    <mergeCell ref="T1:A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sqref="A1:A26"/>
    </sheetView>
  </sheetViews>
  <sheetFormatPr defaultRowHeight="15" x14ac:dyDescent="0.25"/>
  <cols>
    <col min="1" max="1" width="19.28515625" bestFit="1" customWidth="1"/>
    <col min="2" max="2" width="19.85546875" bestFit="1" customWidth="1"/>
    <col min="3" max="3" width="20.7109375" bestFit="1" customWidth="1"/>
    <col min="4" max="4" width="24.85546875" bestFit="1" customWidth="1"/>
    <col min="5" max="5" width="24.5703125" bestFit="1" customWidth="1"/>
    <col min="6" max="6" width="31" bestFit="1" customWidth="1"/>
  </cols>
  <sheetData>
    <row r="1" spans="1:11" x14ac:dyDescent="0.25">
      <c r="A1" s="49" t="s">
        <v>24</v>
      </c>
      <c r="B1" s="48" t="s">
        <v>32</v>
      </c>
      <c r="C1" s="48"/>
      <c r="D1" s="48"/>
      <c r="E1" s="48"/>
      <c r="F1" s="48"/>
    </row>
    <row r="2" spans="1:11" x14ac:dyDescent="0.25">
      <c r="A2" s="49"/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/>
      <c r="H2" s="1"/>
      <c r="I2" s="1"/>
      <c r="J2" s="1"/>
      <c r="K2" s="1"/>
    </row>
    <row r="3" spans="1:11" x14ac:dyDescent="0.25">
      <c r="A3" s="1" t="s">
        <v>0</v>
      </c>
      <c r="B3">
        <v>1</v>
      </c>
      <c r="C3">
        <v>1</v>
      </c>
      <c r="D3">
        <v>0.9</v>
      </c>
      <c r="E3">
        <v>0.8</v>
      </c>
      <c r="F3">
        <v>0.6</v>
      </c>
    </row>
    <row r="4" spans="1:11" x14ac:dyDescent="0.25">
      <c r="A4" s="1" t="s">
        <v>1</v>
      </c>
      <c r="B4">
        <v>1</v>
      </c>
      <c r="C4">
        <v>1</v>
      </c>
      <c r="D4">
        <v>0.9</v>
      </c>
      <c r="E4">
        <v>0.8</v>
      </c>
      <c r="F4">
        <v>0.6</v>
      </c>
    </row>
    <row r="5" spans="1:11" x14ac:dyDescent="0.25">
      <c r="A5" s="1" t="s">
        <v>2</v>
      </c>
      <c r="B5">
        <v>1</v>
      </c>
      <c r="C5">
        <v>0.8</v>
      </c>
      <c r="D5">
        <v>0.5</v>
      </c>
      <c r="E5">
        <v>0.2</v>
      </c>
      <c r="F5">
        <v>0.1</v>
      </c>
    </row>
    <row r="6" spans="1:11" x14ac:dyDescent="0.25">
      <c r="A6" s="1" t="s">
        <v>3</v>
      </c>
      <c r="B6">
        <v>1</v>
      </c>
      <c r="C6">
        <v>0.8</v>
      </c>
      <c r="D6">
        <v>0.5</v>
      </c>
      <c r="E6">
        <v>0.2</v>
      </c>
      <c r="F6">
        <v>0.1</v>
      </c>
    </row>
    <row r="7" spans="1:11" x14ac:dyDescent="0.25">
      <c r="A7" s="1" t="s">
        <v>4</v>
      </c>
      <c r="B7">
        <v>1</v>
      </c>
      <c r="C7">
        <v>0.9</v>
      </c>
      <c r="D7">
        <v>0.6</v>
      </c>
      <c r="E7">
        <v>0.3</v>
      </c>
      <c r="F7">
        <v>0.1</v>
      </c>
    </row>
    <row r="8" spans="1:11" x14ac:dyDescent="0.25">
      <c r="A8" s="1" t="s">
        <v>5</v>
      </c>
      <c r="B8">
        <v>1</v>
      </c>
      <c r="C8">
        <v>0.8</v>
      </c>
      <c r="D8">
        <v>0.5</v>
      </c>
      <c r="E8">
        <v>0.2</v>
      </c>
      <c r="F8">
        <v>0.1</v>
      </c>
    </row>
    <row r="9" spans="1:11" x14ac:dyDescent="0.25">
      <c r="A9" s="1" t="s">
        <v>6</v>
      </c>
      <c r="B9">
        <v>1</v>
      </c>
      <c r="C9">
        <v>0.8</v>
      </c>
      <c r="D9">
        <v>0.5</v>
      </c>
      <c r="E9">
        <v>0.2</v>
      </c>
      <c r="F9">
        <v>0.1</v>
      </c>
    </row>
    <row r="10" spans="1:11" x14ac:dyDescent="0.25">
      <c r="A10" s="1" t="s">
        <v>7</v>
      </c>
      <c r="B10">
        <v>1</v>
      </c>
      <c r="C10">
        <v>0.8</v>
      </c>
      <c r="D10">
        <v>0.5</v>
      </c>
      <c r="E10">
        <v>0.2</v>
      </c>
      <c r="F10">
        <v>0.1</v>
      </c>
    </row>
    <row r="11" spans="1:11" x14ac:dyDescent="0.25">
      <c r="A11" s="1" t="s">
        <v>8</v>
      </c>
      <c r="B11">
        <v>1</v>
      </c>
      <c r="C11">
        <v>0.8</v>
      </c>
      <c r="D11">
        <v>0.5</v>
      </c>
      <c r="E11">
        <v>0.2</v>
      </c>
      <c r="F11">
        <v>0.1</v>
      </c>
    </row>
    <row r="12" spans="1:11" x14ac:dyDescent="0.25">
      <c r="A12" s="1" t="s">
        <v>9</v>
      </c>
      <c r="B12">
        <v>1</v>
      </c>
      <c r="C12">
        <v>0.8</v>
      </c>
      <c r="D12">
        <v>0.5</v>
      </c>
      <c r="E12">
        <v>0.2</v>
      </c>
      <c r="F12">
        <v>0.1</v>
      </c>
    </row>
    <row r="13" spans="1:11" x14ac:dyDescent="0.25">
      <c r="A13" s="1" t="s">
        <v>10</v>
      </c>
      <c r="B13">
        <v>1</v>
      </c>
      <c r="C13">
        <v>1</v>
      </c>
      <c r="D13">
        <v>0.8</v>
      </c>
      <c r="E13">
        <v>0.5</v>
      </c>
      <c r="F13">
        <v>0.2</v>
      </c>
    </row>
    <row r="14" spans="1:11" x14ac:dyDescent="0.25">
      <c r="A14" s="1" t="s">
        <v>11</v>
      </c>
      <c r="B14">
        <v>1</v>
      </c>
      <c r="C14">
        <v>1</v>
      </c>
      <c r="D14">
        <v>0.8</v>
      </c>
      <c r="E14">
        <v>0.6</v>
      </c>
      <c r="F14">
        <v>0.3</v>
      </c>
    </row>
    <row r="15" spans="1:11" x14ac:dyDescent="0.25">
      <c r="A15" s="1" t="s">
        <v>12</v>
      </c>
      <c r="B15">
        <v>1</v>
      </c>
      <c r="C15">
        <v>1</v>
      </c>
      <c r="D15">
        <v>0.7</v>
      </c>
      <c r="E15">
        <v>0.4</v>
      </c>
      <c r="F15">
        <v>0.1</v>
      </c>
    </row>
    <row r="16" spans="1:11" x14ac:dyDescent="0.25">
      <c r="A16" s="1" t="s">
        <v>13</v>
      </c>
      <c r="B16">
        <v>1</v>
      </c>
      <c r="C16">
        <v>1</v>
      </c>
      <c r="D16">
        <v>0.9</v>
      </c>
      <c r="E16">
        <v>0.7</v>
      </c>
      <c r="F16">
        <v>0.3</v>
      </c>
    </row>
    <row r="17" spans="1:6" x14ac:dyDescent="0.25">
      <c r="A17" s="1" t="s">
        <v>14</v>
      </c>
      <c r="B17">
        <v>1</v>
      </c>
      <c r="C17">
        <v>1</v>
      </c>
      <c r="D17">
        <v>0.7</v>
      </c>
      <c r="E17">
        <v>0.4</v>
      </c>
      <c r="F17">
        <v>0.1</v>
      </c>
    </row>
    <row r="18" spans="1:6" x14ac:dyDescent="0.25">
      <c r="A18" s="1" t="s">
        <v>15</v>
      </c>
      <c r="B18">
        <v>1</v>
      </c>
      <c r="C18">
        <v>1</v>
      </c>
      <c r="D18">
        <v>0.9</v>
      </c>
      <c r="E18">
        <v>0.7</v>
      </c>
      <c r="F18">
        <v>0.3</v>
      </c>
    </row>
    <row r="19" spans="1:6" x14ac:dyDescent="0.25">
      <c r="A19" s="1" t="s">
        <v>16</v>
      </c>
      <c r="B19">
        <v>1</v>
      </c>
      <c r="C19">
        <v>1</v>
      </c>
      <c r="D19">
        <v>0.8</v>
      </c>
      <c r="E19">
        <v>0.5</v>
      </c>
      <c r="F19">
        <v>0.1</v>
      </c>
    </row>
    <row r="20" spans="1:6" x14ac:dyDescent="0.25">
      <c r="A20" s="1" t="s">
        <v>17</v>
      </c>
      <c r="B20">
        <v>1</v>
      </c>
      <c r="C20">
        <v>1</v>
      </c>
      <c r="D20">
        <v>0.8</v>
      </c>
      <c r="E20">
        <v>0.4</v>
      </c>
      <c r="F20">
        <v>0.1</v>
      </c>
    </row>
    <row r="21" spans="1:6" x14ac:dyDescent="0.25">
      <c r="A21" s="1" t="s">
        <v>18</v>
      </c>
      <c r="B21">
        <v>1</v>
      </c>
      <c r="C21">
        <v>1</v>
      </c>
      <c r="D21">
        <v>0.8</v>
      </c>
      <c r="E21">
        <v>0.5</v>
      </c>
      <c r="F21">
        <v>0.2</v>
      </c>
    </row>
    <row r="22" spans="1:6" x14ac:dyDescent="0.25">
      <c r="A22" s="1" t="s">
        <v>19</v>
      </c>
      <c r="B22">
        <v>1</v>
      </c>
      <c r="C22">
        <v>1</v>
      </c>
      <c r="D22">
        <v>0.7</v>
      </c>
      <c r="E22">
        <v>0.4</v>
      </c>
      <c r="F22">
        <v>0.1</v>
      </c>
    </row>
    <row r="23" spans="1:6" x14ac:dyDescent="0.25">
      <c r="A23" s="1" t="s">
        <v>20</v>
      </c>
      <c r="B23">
        <v>1</v>
      </c>
      <c r="C23">
        <v>1</v>
      </c>
      <c r="D23">
        <v>0.8</v>
      </c>
      <c r="E23">
        <v>0.5</v>
      </c>
      <c r="F23">
        <v>0.1</v>
      </c>
    </row>
    <row r="24" spans="1:6" x14ac:dyDescent="0.25">
      <c r="A24" s="1" t="s">
        <v>21</v>
      </c>
      <c r="B24">
        <v>1</v>
      </c>
      <c r="C24">
        <v>1</v>
      </c>
      <c r="D24">
        <v>0.8</v>
      </c>
      <c r="E24">
        <v>0.6</v>
      </c>
      <c r="F24">
        <v>0.3</v>
      </c>
    </row>
    <row r="25" spans="1:6" x14ac:dyDescent="0.25">
      <c r="A25" s="1" t="s">
        <v>22</v>
      </c>
      <c r="B25">
        <v>1</v>
      </c>
      <c r="C25">
        <v>1</v>
      </c>
      <c r="D25">
        <v>0.7</v>
      </c>
      <c r="E25">
        <v>0.4</v>
      </c>
      <c r="F25">
        <v>0.1</v>
      </c>
    </row>
    <row r="26" spans="1:6" x14ac:dyDescent="0.25">
      <c r="A26" s="1" t="s">
        <v>23</v>
      </c>
      <c r="B26">
        <v>1</v>
      </c>
      <c r="C26">
        <v>1</v>
      </c>
      <c r="D26">
        <v>0.8</v>
      </c>
      <c r="E26">
        <v>0.6</v>
      </c>
      <c r="F26">
        <v>0.2</v>
      </c>
    </row>
  </sheetData>
  <mergeCells count="2">
    <mergeCell ref="A1:A2"/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"/>
  <sheetViews>
    <sheetView topLeftCell="G1" workbookViewId="0">
      <selection activeCell="N32" sqref="N32"/>
    </sheetView>
  </sheetViews>
  <sheetFormatPr defaultRowHeight="15" x14ac:dyDescent="0.25"/>
  <cols>
    <col min="1" max="1" width="19.28515625" bestFit="1" customWidth="1"/>
    <col min="2" max="2" width="9.42578125" bestFit="1" customWidth="1"/>
    <col min="3" max="3" width="22.28515625" bestFit="1" customWidth="1"/>
    <col min="4" max="4" width="11.28515625" bestFit="1" customWidth="1"/>
    <col min="5" max="5" width="15.42578125" bestFit="1" customWidth="1"/>
    <col min="6" max="6" width="15.28515625" bestFit="1" customWidth="1"/>
    <col min="7" max="7" width="21.42578125" bestFit="1" customWidth="1"/>
    <col min="8" max="8" width="14.42578125" bestFit="1" customWidth="1"/>
    <col min="9" max="9" width="8.7109375" bestFit="1" customWidth="1"/>
    <col min="10" max="10" width="9.42578125" bestFit="1" customWidth="1"/>
    <col min="11" max="11" width="22.28515625" bestFit="1" customWidth="1"/>
    <col min="12" max="12" width="11.28515625" bestFit="1" customWidth="1"/>
    <col min="13" max="13" width="15.42578125" bestFit="1" customWidth="1"/>
    <col min="14" max="14" width="15.28515625" bestFit="1" customWidth="1"/>
    <col min="15" max="15" width="21.42578125" bestFit="1" customWidth="1"/>
    <col min="16" max="16" width="14.42578125" bestFit="1" customWidth="1"/>
    <col min="17" max="17" width="8.7109375" bestFit="1" customWidth="1"/>
  </cols>
  <sheetData>
    <row r="1" spans="1:39" x14ac:dyDescent="0.25">
      <c r="A1" s="57" t="s">
        <v>24</v>
      </c>
      <c r="B1" s="56" t="s">
        <v>38</v>
      </c>
      <c r="C1" s="56"/>
      <c r="D1" s="56"/>
      <c r="E1" s="56"/>
      <c r="F1" s="56"/>
      <c r="G1" s="56"/>
      <c r="H1" s="56"/>
      <c r="I1" s="59"/>
      <c r="J1" s="55" t="s">
        <v>47</v>
      </c>
      <c r="K1" s="56"/>
      <c r="L1" s="56"/>
      <c r="M1" s="56"/>
      <c r="N1" s="56"/>
      <c r="O1" s="56"/>
      <c r="P1" s="56"/>
      <c r="Q1" s="59"/>
    </row>
    <row r="2" spans="1:39" x14ac:dyDescent="0.25">
      <c r="A2" s="58"/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6" t="s">
        <v>46</v>
      </c>
      <c r="J2" s="7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45</v>
      </c>
      <c r="Q2" s="6" t="s">
        <v>46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7" t="s">
        <v>0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0.9</v>
      </c>
      <c r="H3" s="8">
        <v>0.7</v>
      </c>
      <c r="I3" s="9">
        <v>0.5</v>
      </c>
      <c r="J3" s="13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0.9</v>
      </c>
      <c r="Q3" s="9">
        <v>0.8</v>
      </c>
    </row>
    <row r="4" spans="1:39" x14ac:dyDescent="0.25">
      <c r="A4" s="7" t="s">
        <v>1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0.9</v>
      </c>
      <c r="H4" s="8">
        <v>0.7</v>
      </c>
      <c r="I4" s="9">
        <v>0.5</v>
      </c>
      <c r="J4" s="13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0.9</v>
      </c>
      <c r="Q4" s="9">
        <v>0.8</v>
      </c>
    </row>
    <row r="5" spans="1:39" x14ac:dyDescent="0.25">
      <c r="A5" s="7" t="s">
        <v>2</v>
      </c>
      <c r="B5" s="8">
        <v>1</v>
      </c>
      <c r="C5" s="8">
        <v>1</v>
      </c>
      <c r="D5" s="8">
        <v>1</v>
      </c>
      <c r="E5" s="8">
        <v>0.9</v>
      </c>
      <c r="F5" s="8">
        <v>0.7</v>
      </c>
      <c r="G5" s="8">
        <v>0.6</v>
      </c>
      <c r="H5" s="8">
        <v>0.4</v>
      </c>
      <c r="I5" s="9">
        <v>0.2</v>
      </c>
      <c r="J5" s="13">
        <v>1</v>
      </c>
      <c r="K5" s="8">
        <v>1</v>
      </c>
      <c r="L5" s="8">
        <v>1</v>
      </c>
      <c r="M5" s="8">
        <v>1</v>
      </c>
      <c r="N5" s="8">
        <v>0.9</v>
      </c>
      <c r="O5" s="8">
        <v>0.8</v>
      </c>
      <c r="P5" s="8">
        <v>0.7</v>
      </c>
      <c r="Q5" s="9">
        <v>0.5</v>
      </c>
    </row>
    <row r="6" spans="1:39" x14ac:dyDescent="0.25">
      <c r="A6" s="7" t="s">
        <v>3</v>
      </c>
      <c r="B6" s="8">
        <v>1</v>
      </c>
      <c r="C6" s="8">
        <v>1</v>
      </c>
      <c r="D6" s="8">
        <v>1</v>
      </c>
      <c r="E6" s="8">
        <v>0.9</v>
      </c>
      <c r="F6" s="8">
        <v>0.8</v>
      </c>
      <c r="G6" s="8">
        <v>0.6</v>
      </c>
      <c r="H6" s="8">
        <v>0.4</v>
      </c>
      <c r="I6" s="9">
        <v>0.2</v>
      </c>
      <c r="J6" s="13">
        <v>1</v>
      </c>
      <c r="K6" s="8">
        <v>1</v>
      </c>
      <c r="L6" s="8">
        <v>1</v>
      </c>
      <c r="M6" s="8">
        <v>1</v>
      </c>
      <c r="N6" s="8">
        <v>1</v>
      </c>
      <c r="O6" s="8">
        <v>0.8</v>
      </c>
      <c r="P6" s="8">
        <v>0.7</v>
      </c>
      <c r="Q6" s="9">
        <v>0.6</v>
      </c>
    </row>
    <row r="7" spans="1:39" x14ac:dyDescent="0.25">
      <c r="A7" s="7" t="s">
        <v>4</v>
      </c>
      <c r="B7" s="8">
        <v>1</v>
      </c>
      <c r="C7" s="8">
        <v>1</v>
      </c>
      <c r="D7" s="8">
        <v>1</v>
      </c>
      <c r="E7" s="8">
        <v>0.9</v>
      </c>
      <c r="F7" s="8">
        <v>0.7</v>
      </c>
      <c r="G7" s="8">
        <v>0.6</v>
      </c>
      <c r="H7" s="8">
        <v>0.4</v>
      </c>
      <c r="I7" s="9">
        <v>0.2</v>
      </c>
      <c r="J7" s="13">
        <v>1</v>
      </c>
      <c r="K7" s="8">
        <v>1</v>
      </c>
      <c r="L7" s="8">
        <v>1</v>
      </c>
      <c r="M7" s="8">
        <v>1</v>
      </c>
      <c r="N7" s="8">
        <v>0.9</v>
      </c>
      <c r="O7" s="8">
        <v>0.8</v>
      </c>
      <c r="P7" s="8">
        <v>0.7</v>
      </c>
      <c r="Q7" s="9">
        <v>0.5</v>
      </c>
    </row>
    <row r="8" spans="1:39" x14ac:dyDescent="0.25">
      <c r="A8" s="7" t="s">
        <v>5</v>
      </c>
      <c r="B8" s="8">
        <v>1</v>
      </c>
      <c r="C8" s="8">
        <v>1</v>
      </c>
      <c r="D8" s="8">
        <v>1</v>
      </c>
      <c r="E8" s="8">
        <v>0.9</v>
      </c>
      <c r="F8" s="8">
        <v>0.7</v>
      </c>
      <c r="G8" s="8">
        <v>0.6</v>
      </c>
      <c r="H8" s="8">
        <v>0.4</v>
      </c>
      <c r="I8" s="9">
        <v>0.2</v>
      </c>
      <c r="J8" s="13">
        <v>1</v>
      </c>
      <c r="K8" s="8">
        <v>1</v>
      </c>
      <c r="L8" s="8">
        <v>1</v>
      </c>
      <c r="M8" s="8">
        <v>1</v>
      </c>
      <c r="N8" s="8">
        <v>0.9</v>
      </c>
      <c r="O8" s="8">
        <v>0.8</v>
      </c>
      <c r="P8" s="8">
        <v>0.7</v>
      </c>
      <c r="Q8" s="9">
        <v>0.5</v>
      </c>
    </row>
    <row r="9" spans="1:39" x14ac:dyDescent="0.25">
      <c r="A9" s="7" t="s">
        <v>6</v>
      </c>
      <c r="B9" s="8">
        <v>1</v>
      </c>
      <c r="C9" s="8">
        <v>1</v>
      </c>
      <c r="D9" s="8">
        <v>1</v>
      </c>
      <c r="E9" s="8">
        <v>0.9</v>
      </c>
      <c r="F9" s="8">
        <v>0.7</v>
      </c>
      <c r="G9" s="8">
        <v>0.5</v>
      </c>
      <c r="H9" s="8">
        <v>0.3</v>
      </c>
      <c r="I9" s="9">
        <v>0.2</v>
      </c>
      <c r="J9" s="13">
        <v>1</v>
      </c>
      <c r="K9" s="8">
        <v>1</v>
      </c>
      <c r="L9" s="8">
        <v>1</v>
      </c>
      <c r="M9" s="8">
        <v>1</v>
      </c>
      <c r="N9" s="8">
        <v>0.9</v>
      </c>
      <c r="O9" s="8">
        <v>0.7</v>
      </c>
      <c r="P9" s="8">
        <v>0.6</v>
      </c>
      <c r="Q9" s="9">
        <v>0.5</v>
      </c>
    </row>
    <row r="10" spans="1:39" x14ac:dyDescent="0.25">
      <c r="A10" s="7" t="s">
        <v>7</v>
      </c>
      <c r="B10" s="8">
        <v>1</v>
      </c>
      <c r="C10" s="8">
        <v>1</v>
      </c>
      <c r="D10" s="8">
        <v>1</v>
      </c>
      <c r="E10" s="8">
        <v>0.9</v>
      </c>
      <c r="F10" s="8">
        <v>0.7</v>
      </c>
      <c r="G10" s="8">
        <v>0.6</v>
      </c>
      <c r="H10" s="8">
        <v>0.4</v>
      </c>
      <c r="I10" s="9">
        <v>0.2</v>
      </c>
      <c r="J10" s="13">
        <v>1</v>
      </c>
      <c r="K10" s="8">
        <v>1</v>
      </c>
      <c r="L10" s="8">
        <v>1</v>
      </c>
      <c r="M10" s="8">
        <v>1</v>
      </c>
      <c r="N10" s="8">
        <v>0.9</v>
      </c>
      <c r="O10" s="8">
        <v>0.8</v>
      </c>
      <c r="P10" s="8">
        <v>0.7</v>
      </c>
      <c r="Q10" s="9">
        <v>0.5</v>
      </c>
    </row>
    <row r="11" spans="1:39" x14ac:dyDescent="0.25">
      <c r="A11" s="7" t="s">
        <v>8</v>
      </c>
      <c r="B11" s="8">
        <v>1</v>
      </c>
      <c r="C11" s="8">
        <v>1</v>
      </c>
      <c r="D11" s="8">
        <v>1</v>
      </c>
      <c r="E11" s="8">
        <v>0.9</v>
      </c>
      <c r="F11" s="8">
        <v>0.6</v>
      </c>
      <c r="G11" s="8">
        <v>0.5</v>
      </c>
      <c r="H11" s="8">
        <v>0.4</v>
      </c>
      <c r="I11" s="9">
        <v>0.2</v>
      </c>
      <c r="J11" s="13">
        <v>1</v>
      </c>
      <c r="K11" s="8">
        <v>1</v>
      </c>
      <c r="L11" s="8">
        <v>1</v>
      </c>
      <c r="M11" s="8">
        <v>1</v>
      </c>
      <c r="N11" s="8">
        <v>0.8</v>
      </c>
      <c r="O11" s="8">
        <v>0.7</v>
      </c>
      <c r="P11" s="8">
        <v>0.6</v>
      </c>
      <c r="Q11" s="9">
        <v>0.5</v>
      </c>
    </row>
    <row r="12" spans="1:39" x14ac:dyDescent="0.25">
      <c r="A12" s="7" t="s">
        <v>9</v>
      </c>
      <c r="B12" s="8">
        <v>1</v>
      </c>
      <c r="C12" s="8">
        <v>1</v>
      </c>
      <c r="D12" s="8">
        <v>1</v>
      </c>
      <c r="E12" s="8">
        <v>0.9</v>
      </c>
      <c r="F12" s="8">
        <v>0.7</v>
      </c>
      <c r="G12" s="8">
        <v>0.6</v>
      </c>
      <c r="H12" s="8">
        <v>0.5</v>
      </c>
      <c r="I12" s="9">
        <v>0.3</v>
      </c>
      <c r="J12" s="13">
        <v>1</v>
      </c>
      <c r="K12" s="8">
        <v>1</v>
      </c>
      <c r="L12" s="8">
        <v>1</v>
      </c>
      <c r="M12" s="8">
        <v>1</v>
      </c>
      <c r="N12" s="8">
        <v>0.9</v>
      </c>
      <c r="O12" s="8">
        <v>0.8</v>
      </c>
      <c r="P12" s="8">
        <v>0.7</v>
      </c>
      <c r="Q12" s="9">
        <v>0.6</v>
      </c>
    </row>
    <row r="13" spans="1:39" x14ac:dyDescent="0.25">
      <c r="A13" s="7" t="s">
        <v>10</v>
      </c>
      <c r="B13" s="8">
        <v>1</v>
      </c>
      <c r="C13" s="8">
        <v>1</v>
      </c>
      <c r="D13" s="8">
        <v>1</v>
      </c>
      <c r="E13" s="8">
        <v>1</v>
      </c>
      <c r="F13" s="8">
        <v>0.9</v>
      </c>
      <c r="G13" s="8">
        <v>0.7</v>
      </c>
      <c r="H13" s="8">
        <v>0.5</v>
      </c>
      <c r="I13" s="9">
        <v>0.3</v>
      </c>
      <c r="J13" s="13">
        <v>1</v>
      </c>
      <c r="K13" s="8">
        <v>1</v>
      </c>
      <c r="L13" s="8">
        <v>1</v>
      </c>
      <c r="M13" s="8">
        <v>1</v>
      </c>
      <c r="N13" s="8">
        <v>1</v>
      </c>
      <c r="O13" s="8">
        <v>0.9</v>
      </c>
      <c r="P13" s="8">
        <v>0.8</v>
      </c>
      <c r="Q13" s="9">
        <v>0.7</v>
      </c>
    </row>
    <row r="14" spans="1:39" x14ac:dyDescent="0.25">
      <c r="A14" s="7" t="s">
        <v>11</v>
      </c>
      <c r="B14" s="8">
        <v>1</v>
      </c>
      <c r="C14" s="8">
        <v>1</v>
      </c>
      <c r="D14" s="8">
        <v>1</v>
      </c>
      <c r="E14" s="8">
        <v>1</v>
      </c>
      <c r="F14" s="8">
        <v>0.9</v>
      </c>
      <c r="G14" s="8">
        <v>0.7</v>
      </c>
      <c r="H14" s="8">
        <v>0.5</v>
      </c>
      <c r="I14" s="9">
        <v>0.3</v>
      </c>
      <c r="J14" s="13">
        <v>1</v>
      </c>
      <c r="K14" s="8">
        <v>1</v>
      </c>
      <c r="L14" s="8">
        <v>1</v>
      </c>
      <c r="M14" s="8">
        <v>1</v>
      </c>
      <c r="N14" s="8">
        <v>1</v>
      </c>
      <c r="O14" s="8">
        <v>0.9</v>
      </c>
      <c r="P14" s="8">
        <v>0.8</v>
      </c>
      <c r="Q14" s="9">
        <v>0.7</v>
      </c>
    </row>
    <row r="15" spans="1:39" x14ac:dyDescent="0.25">
      <c r="A15" s="7" t="s">
        <v>12</v>
      </c>
      <c r="B15" s="8">
        <v>1</v>
      </c>
      <c r="C15" s="8">
        <v>1</v>
      </c>
      <c r="D15" s="8">
        <v>1</v>
      </c>
      <c r="E15" s="8">
        <v>1</v>
      </c>
      <c r="F15" s="8">
        <v>0.9</v>
      </c>
      <c r="G15" s="8">
        <v>0.8</v>
      </c>
      <c r="H15" s="8">
        <v>0.6</v>
      </c>
      <c r="I15" s="9">
        <v>0.4</v>
      </c>
      <c r="J15" s="13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0.9</v>
      </c>
      <c r="Q15" s="9">
        <v>0.8</v>
      </c>
    </row>
    <row r="16" spans="1:39" x14ac:dyDescent="0.25">
      <c r="A16" s="7" t="s">
        <v>13</v>
      </c>
      <c r="B16" s="8">
        <v>1</v>
      </c>
      <c r="C16" s="8">
        <v>1</v>
      </c>
      <c r="D16" s="8">
        <v>1</v>
      </c>
      <c r="E16" s="8">
        <v>1</v>
      </c>
      <c r="F16" s="8">
        <v>0.9</v>
      </c>
      <c r="G16" s="8">
        <v>0.8</v>
      </c>
      <c r="H16" s="8">
        <v>0.6</v>
      </c>
      <c r="I16" s="9">
        <v>0.4</v>
      </c>
      <c r="J16" s="13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0.9</v>
      </c>
      <c r="Q16" s="9">
        <v>0.8</v>
      </c>
    </row>
    <row r="17" spans="1:17" x14ac:dyDescent="0.25">
      <c r="A17" s="7" t="s">
        <v>14</v>
      </c>
      <c r="B17" s="8">
        <v>1</v>
      </c>
      <c r="C17" s="8">
        <v>1</v>
      </c>
      <c r="D17" s="8">
        <v>1</v>
      </c>
      <c r="E17" s="8">
        <v>1</v>
      </c>
      <c r="F17" s="8">
        <v>0.9</v>
      </c>
      <c r="G17" s="8">
        <v>0.7</v>
      </c>
      <c r="H17" s="8">
        <v>0.5</v>
      </c>
      <c r="I17" s="9">
        <v>0.3</v>
      </c>
      <c r="J17" s="13">
        <v>1</v>
      </c>
      <c r="K17" s="8">
        <v>1</v>
      </c>
      <c r="L17" s="8">
        <v>1</v>
      </c>
      <c r="M17" s="8">
        <v>1</v>
      </c>
      <c r="N17" s="8">
        <v>1</v>
      </c>
      <c r="O17" s="8">
        <v>0.9</v>
      </c>
      <c r="P17" s="8">
        <v>0.8</v>
      </c>
      <c r="Q17" s="9">
        <v>0.7</v>
      </c>
    </row>
    <row r="18" spans="1:17" x14ac:dyDescent="0.25">
      <c r="A18" s="7" t="s">
        <v>15</v>
      </c>
      <c r="B18" s="8">
        <v>1</v>
      </c>
      <c r="C18" s="8">
        <v>1</v>
      </c>
      <c r="D18" s="8">
        <v>1</v>
      </c>
      <c r="E18" s="8">
        <v>1</v>
      </c>
      <c r="F18" s="8">
        <v>0.9</v>
      </c>
      <c r="G18" s="8">
        <v>0.8</v>
      </c>
      <c r="H18" s="8">
        <v>0.6</v>
      </c>
      <c r="I18" s="9">
        <v>0.4</v>
      </c>
      <c r="J18" s="13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8">
        <v>0.9</v>
      </c>
      <c r="Q18" s="9">
        <v>0.8</v>
      </c>
    </row>
    <row r="19" spans="1:17" x14ac:dyDescent="0.25">
      <c r="A19" s="7" t="s">
        <v>16</v>
      </c>
      <c r="B19" s="8">
        <v>1</v>
      </c>
      <c r="C19" s="8">
        <v>1</v>
      </c>
      <c r="D19" s="8">
        <v>1</v>
      </c>
      <c r="E19" s="8">
        <v>1</v>
      </c>
      <c r="F19" s="8">
        <v>0.9</v>
      </c>
      <c r="G19" s="8">
        <v>0.7</v>
      </c>
      <c r="H19" s="8">
        <v>0.5</v>
      </c>
      <c r="I19" s="9">
        <v>0.3</v>
      </c>
      <c r="J19" s="13">
        <v>1</v>
      </c>
      <c r="K19" s="8">
        <v>1</v>
      </c>
      <c r="L19" s="8">
        <v>1</v>
      </c>
      <c r="M19" s="8">
        <v>1</v>
      </c>
      <c r="N19" s="8">
        <v>1</v>
      </c>
      <c r="O19" s="8">
        <v>0.9</v>
      </c>
      <c r="P19" s="8">
        <v>0.8</v>
      </c>
      <c r="Q19" s="9">
        <v>0.7</v>
      </c>
    </row>
    <row r="20" spans="1:17" x14ac:dyDescent="0.25">
      <c r="A20" s="7" t="s">
        <v>17</v>
      </c>
      <c r="B20" s="8">
        <v>1</v>
      </c>
      <c r="C20" s="8">
        <v>1</v>
      </c>
      <c r="D20" s="8">
        <v>1</v>
      </c>
      <c r="E20" s="8">
        <v>1</v>
      </c>
      <c r="F20" s="8">
        <v>0.9</v>
      </c>
      <c r="G20" s="8">
        <v>0.7</v>
      </c>
      <c r="H20" s="8">
        <v>0.5</v>
      </c>
      <c r="I20" s="9">
        <v>0.3</v>
      </c>
      <c r="J20" s="13">
        <v>1</v>
      </c>
      <c r="K20" s="8">
        <v>1</v>
      </c>
      <c r="L20" s="8">
        <v>1</v>
      </c>
      <c r="M20" s="8">
        <v>1</v>
      </c>
      <c r="N20" s="8">
        <v>1</v>
      </c>
      <c r="O20" s="8">
        <v>0.9</v>
      </c>
      <c r="P20" s="8">
        <v>0.8</v>
      </c>
      <c r="Q20" s="9">
        <v>0.7</v>
      </c>
    </row>
    <row r="21" spans="1:17" x14ac:dyDescent="0.25">
      <c r="A21" s="7" t="s">
        <v>18</v>
      </c>
      <c r="B21" s="8">
        <v>1</v>
      </c>
      <c r="C21" s="8">
        <v>1</v>
      </c>
      <c r="D21" s="8">
        <v>1</v>
      </c>
      <c r="E21" s="8">
        <v>1</v>
      </c>
      <c r="F21" s="8">
        <v>0.9</v>
      </c>
      <c r="G21" s="8">
        <v>0.7</v>
      </c>
      <c r="H21" s="8">
        <v>0.5</v>
      </c>
      <c r="I21" s="9">
        <v>0.3</v>
      </c>
      <c r="J21" s="13">
        <v>1</v>
      </c>
      <c r="K21" s="8">
        <v>1</v>
      </c>
      <c r="L21" s="8">
        <v>1</v>
      </c>
      <c r="M21" s="8">
        <v>1</v>
      </c>
      <c r="N21" s="8">
        <v>1</v>
      </c>
      <c r="O21" s="8">
        <v>0.9</v>
      </c>
      <c r="P21" s="8">
        <v>0.8</v>
      </c>
      <c r="Q21" s="9">
        <v>0.7</v>
      </c>
    </row>
    <row r="22" spans="1:17" x14ac:dyDescent="0.25">
      <c r="A22" s="7" t="s">
        <v>19</v>
      </c>
      <c r="B22" s="8">
        <v>1</v>
      </c>
      <c r="C22" s="8">
        <v>1</v>
      </c>
      <c r="D22" s="8">
        <v>1</v>
      </c>
      <c r="E22" s="8">
        <v>1</v>
      </c>
      <c r="F22" s="8">
        <v>0.9</v>
      </c>
      <c r="G22" s="8">
        <v>0.8</v>
      </c>
      <c r="H22" s="8">
        <v>0.6</v>
      </c>
      <c r="I22" s="9">
        <v>0.4</v>
      </c>
      <c r="J22" s="13">
        <v>1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  <c r="P22" s="8">
        <v>0.9</v>
      </c>
      <c r="Q22" s="9">
        <v>0.8</v>
      </c>
    </row>
    <row r="23" spans="1:17" x14ac:dyDescent="0.25">
      <c r="A23" s="7" t="s">
        <v>20</v>
      </c>
      <c r="B23" s="8">
        <v>1</v>
      </c>
      <c r="C23" s="8">
        <v>1</v>
      </c>
      <c r="D23" s="8">
        <v>1</v>
      </c>
      <c r="E23" s="8">
        <v>1</v>
      </c>
      <c r="F23" s="8">
        <v>0.9</v>
      </c>
      <c r="G23" s="8">
        <v>0.7</v>
      </c>
      <c r="H23" s="8">
        <v>0.5</v>
      </c>
      <c r="I23" s="9">
        <v>0.3</v>
      </c>
      <c r="J23" s="13">
        <v>1</v>
      </c>
      <c r="K23" s="8">
        <v>1</v>
      </c>
      <c r="L23" s="8">
        <v>1</v>
      </c>
      <c r="M23" s="8">
        <v>1</v>
      </c>
      <c r="N23" s="8">
        <v>1</v>
      </c>
      <c r="O23" s="8">
        <v>0.9</v>
      </c>
      <c r="P23" s="8">
        <v>0.8</v>
      </c>
      <c r="Q23" s="9">
        <v>0.7</v>
      </c>
    </row>
    <row r="24" spans="1:17" x14ac:dyDescent="0.25">
      <c r="A24" s="7" t="s">
        <v>21</v>
      </c>
      <c r="B24" s="8">
        <v>1</v>
      </c>
      <c r="C24" s="8">
        <v>1</v>
      </c>
      <c r="D24" s="8">
        <v>1</v>
      </c>
      <c r="E24" s="8">
        <v>0.9</v>
      </c>
      <c r="F24" s="8">
        <v>0.8</v>
      </c>
      <c r="G24" s="8">
        <v>0.7</v>
      </c>
      <c r="H24" s="8">
        <v>0.5</v>
      </c>
      <c r="I24" s="9">
        <v>0.2</v>
      </c>
      <c r="J24" s="13">
        <v>1</v>
      </c>
      <c r="K24" s="8">
        <v>1</v>
      </c>
      <c r="L24" s="8">
        <v>1</v>
      </c>
      <c r="M24" s="8">
        <v>1</v>
      </c>
      <c r="N24" s="8">
        <v>0.9</v>
      </c>
      <c r="O24" s="8">
        <v>0.8</v>
      </c>
      <c r="P24" s="8">
        <v>0.7</v>
      </c>
      <c r="Q24" s="9">
        <v>0.6</v>
      </c>
    </row>
    <row r="25" spans="1:17" x14ac:dyDescent="0.25">
      <c r="A25" s="7" t="s">
        <v>22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  <c r="G25" s="8">
        <v>0.8</v>
      </c>
      <c r="H25" s="8">
        <v>0.6</v>
      </c>
      <c r="I25" s="9">
        <v>0.4</v>
      </c>
      <c r="J25" s="13">
        <v>1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  <c r="P25" s="8">
        <v>0.9</v>
      </c>
      <c r="Q25" s="9">
        <v>0.8</v>
      </c>
    </row>
    <row r="26" spans="1:17" x14ac:dyDescent="0.25">
      <c r="A26" s="10" t="s">
        <v>23</v>
      </c>
      <c r="B26" s="11">
        <v>1</v>
      </c>
      <c r="C26" s="11">
        <v>1</v>
      </c>
      <c r="D26" s="11">
        <v>1</v>
      </c>
      <c r="E26" s="11">
        <v>1</v>
      </c>
      <c r="F26" s="11">
        <v>1</v>
      </c>
      <c r="G26" s="11">
        <v>0.7</v>
      </c>
      <c r="H26" s="11">
        <v>0.5</v>
      </c>
      <c r="I26" s="12">
        <v>0.3</v>
      </c>
      <c r="J26" s="14">
        <v>1</v>
      </c>
      <c r="K26" s="11">
        <v>1</v>
      </c>
      <c r="L26" s="11">
        <v>1</v>
      </c>
      <c r="M26" s="11">
        <v>1</v>
      </c>
      <c r="N26" s="11">
        <v>1</v>
      </c>
      <c r="O26" s="11">
        <v>0.9</v>
      </c>
      <c r="P26" s="11">
        <v>0.8</v>
      </c>
      <c r="Q26" s="12">
        <v>0.7</v>
      </c>
    </row>
  </sheetData>
  <mergeCells count="3">
    <mergeCell ref="A1:A2"/>
    <mergeCell ref="B1:I1"/>
    <mergeCell ref="J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>
      <selection activeCell="E30" sqref="E30"/>
    </sheetView>
  </sheetViews>
  <sheetFormatPr defaultRowHeight="15" x14ac:dyDescent="0.25"/>
  <cols>
    <col min="1" max="1" width="19.28515625" bestFit="1" customWidth="1"/>
    <col min="2" max="2" width="16.140625" bestFit="1" customWidth="1"/>
    <col min="3" max="3" width="29" bestFit="1" customWidth="1"/>
    <col min="4" max="4" width="17.7109375" bestFit="1" customWidth="1"/>
    <col min="5" max="5" width="21.85546875" bestFit="1" customWidth="1"/>
    <col min="6" max="6" width="21.7109375" bestFit="1" customWidth="1"/>
    <col min="7" max="7" width="27.7109375" bestFit="1" customWidth="1"/>
    <col min="8" max="8" width="20.7109375" bestFit="1" customWidth="1"/>
  </cols>
  <sheetData>
    <row r="1" spans="1:20" x14ac:dyDescent="0.25">
      <c r="A1" s="49" t="s">
        <v>24</v>
      </c>
      <c r="B1" s="48" t="s">
        <v>55</v>
      </c>
      <c r="C1" s="48"/>
      <c r="D1" s="48"/>
      <c r="E1" s="48"/>
      <c r="F1" s="48"/>
      <c r="G1" s="48"/>
      <c r="H1" s="48"/>
    </row>
    <row r="2" spans="1:20" x14ac:dyDescent="0.25">
      <c r="A2" s="49"/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 t="s">
        <v>0</v>
      </c>
      <c r="B3">
        <v>1</v>
      </c>
      <c r="C3">
        <v>1</v>
      </c>
      <c r="D3">
        <v>1</v>
      </c>
      <c r="E3">
        <v>1</v>
      </c>
      <c r="F3">
        <v>0.9</v>
      </c>
      <c r="G3">
        <v>0.7</v>
      </c>
      <c r="H3">
        <v>0.6</v>
      </c>
    </row>
    <row r="4" spans="1:20" x14ac:dyDescent="0.25">
      <c r="A4" s="1" t="s">
        <v>1</v>
      </c>
      <c r="B4">
        <v>1</v>
      </c>
      <c r="C4">
        <v>1</v>
      </c>
      <c r="D4">
        <v>1</v>
      </c>
      <c r="E4">
        <v>1</v>
      </c>
      <c r="F4">
        <v>0.9</v>
      </c>
      <c r="G4">
        <v>0.7</v>
      </c>
      <c r="H4">
        <v>0.6</v>
      </c>
    </row>
    <row r="5" spans="1:20" x14ac:dyDescent="0.25">
      <c r="A5" s="1" t="s">
        <v>2</v>
      </c>
      <c r="B5">
        <v>1</v>
      </c>
      <c r="C5">
        <v>1</v>
      </c>
      <c r="D5">
        <v>1</v>
      </c>
      <c r="E5">
        <v>0.9</v>
      </c>
      <c r="F5">
        <v>0.7</v>
      </c>
      <c r="G5">
        <v>0.6</v>
      </c>
      <c r="H5">
        <v>0.1</v>
      </c>
    </row>
    <row r="6" spans="1:20" x14ac:dyDescent="0.25">
      <c r="A6" s="1" t="s">
        <v>3</v>
      </c>
      <c r="B6">
        <v>1</v>
      </c>
      <c r="C6">
        <v>1</v>
      </c>
      <c r="D6">
        <v>1</v>
      </c>
      <c r="E6">
        <v>0.9</v>
      </c>
      <c r="F6">
        <v>0.8</v>
      </c>
      <c r="G6">
        <v>0.7</v>
      </c>
      <c r="H6">
        <v>0.2</v>
      </c>
    </row>
    <row r="7" spans="1:20" x14ac:dyDescent="0.25">
      <c r="A7" s="1" t="s">
        <v>4</v>
      </c>
      <c r="B7">
        <v>1</v>
      </c>
      <c r="C7">
        <v>1</v>
      </c>
      <c r="D7">
        <v>1</v>
      </c>
      <c r="E7">
        <v>0.9</v>
      </c>
      <c r="F7">
        <v>0.7</v>
      </c>
      <c r="G7">
        <v>0.5</v>
      </c>
      <c r="H7">
        <v>0.1</v>
      </c>
    </row>
    <row r="8" spans="1:20" x14ac:dyDescent="0.25">
      <c r="A8" s="1" t="s">
        <v>5</v>
      </c>
      <c r="B8">
        <v>1</v>
      </c>
      <c r="C8">
        <v>1</v>
      </c>
      <c r="D8">
        <v>1</v>
      </c>
      <c r="E8">
        <v>0.9</v>
      </c>
      <c r="F8">
        <v>0.7</v>
      </c>
      <c r="G8">
        <v>0.4</v>
      </c>
      <c r="H8">
        <v>0.1</v>
      </c>
    </row>
    <row r="9" spans="1:20" x14ac:dyDescent="0.25">
      <c r="A9" s="1" t="s">
        <v>6</v>
      </c>
      <c r="B9">
        <v>1</v>
      </c>
      <c r="C9">
        <v>1</v>
      </c>
      <c r="D9">
        <v>1</v>
      </c>
      <c r="E9">
        <v>0.9</v>
      </c>
      <c r="F9">
        <v>0.6</v>
      </c>
      <c r="G9">
        <v>0.3</v>
      </c>
      <c r="H9">
        <v>0.1</v>
      </c>
    </row>
    <row r="10" spans="1:20" x14ac:dyDescent="0.25">
      <c r="A10" s="1" t="s">
        <v>7</v>
      </c>
      <c r="B10">
        <v>1</v>
      </c>
      <c r="C10">
        <v>1</v>
      </c>
      <c r="D10">
        <v>1</v>
      </c>
      <c r="E10">
        <v>0.9</v>
      </c>
      <c r="F10">
        <v>0.6</v>
      </c>
      <c r="G10">
        <v>0.3</v>
      </c>
      <c r="H10">
        <v>0.1</v>
      </c>
    </row>
    <row r="11" spans="1:20" x14ac:dyDescent="0.25">
      <c r="A11" s="1" t="s">
        <v>8</v>
      </c>
      <c r="B11">
        <v>1</v>
      </c>
      <c r="C11">
        <v>1</v>
      </c>
      <c r="D11">
        <v>1</v>
      </c>
      <c r="E11">
        <v>0.9</v>
      </c>
      <c r="F11">
        <v>0.5</v>
      </c>
      <c r="G11">
        <v>0.3</v>
      </c>
      <c r="H11">
        <v>0.1</v>
      </c>
    </row>
    <row r="12" spans="1:20" x14ac:dyDescent="0.25">
      <c r="A12" s="1" t="s">
        <v>9</v>
      </c>
      <c r="B12">
        <v>1</v>
      </c>
      <c r="C12">
        <v>1</v>
      </c>
      <c r="D12">
        <v>1</v>
      </c>
      <c r="E12">
        <v>0.9</v>
      </c>
      <c r="F12">
        <v>0.4</v>
      </c>
      <c r="G12">
        <v>0.2</v>
      </c>
      <c r="H12">
        <v>0.1</v>
      </c>
    </row>
    <row r="13" spans="1:20" x14ac:dyDescent="0.25">
      <c r="A13" s="1" t="s">
        <v>10</v>
      </c>
      <c r="B13">
        <v>1</v>
      </c>
      <c r="C13">
        <v>1</v>
      </c>
      <c r="D13">
        <v>1</v>
      </c>
      <c r="E13">
        <v>0.9</v>
      </c>
      <c r="F13">
        <v>0.8</v>
      </c>
      <c r="G13">
        <v>0.6</v>
      </c>
      <c r="H13">
        <v>0.3</v>
      </c>
    </row>
    <row r="14" spans="1:20" x14ac:dyDescent="0.25">
      <c r="A14" s="1" t="s">
        <v>11</v>
      </c>
      <c r="B14">
        <v>1</v>
      </c>
      <c r="C14">
        <v>1</v>
      </c>
      <c r="D14">
        <v>1</v>
      </c>
      <c r="E14">
        <v>0.9</v>
      </c>
      <c r="F14">
        <v>0.8</v>
      </c>
      <c r="G14">
        <v>0.5</v>
      </c>
      <c r="H14">
        <v>0.2</v>
      </c>
    </row>
    <row r="15" spans="1:20" x14ac:dyDescent="0.25">
      <c r="A15" s="1" t="s">
        <v>12</v>
      </c>
      <c r="B15">
        <v>1</v>
      </c>
      <c r="C15">
        <v>1</v>
      </c>
      <c r="D15">
        <v>1</v>
      </c>
      <c r="E15">
        <v>0.9</v>
      </c>
      <c r="F15">
        <v>0.7</v>
      </c>
      <c r="G15">
        <v>0.4</v>
      </c>
      <c r="H15">
        <v>0.2</v>
      </c>
    </row>
    <row r="16" spans="1:20" x14ac:dyDescent="0.25">
      <c r="A16" s="1" t="s">
        <v>13</v>
      </c>
      <c r="B16">
        <v>1</v>
      </c>
      <c r="C16">
        <v>1</v>
      </c>
      <c r="D16">
        <v>1</v>
      </c>
      <c r="E16">
        <v>0.9</v>
      </c>
      <c r="F16">
        <v>0.7</v>
      </c>
      <c r="G16">
        <v>0.4</v>
      </c>
      <c r="H16">
        <v>0.2</v>
      </c>
    </row>
    <row r="17" spans="1:8" x14ac:dyDescent="0.25">
      <c r="A17" s="1" t="s">
        <v>14</v>
      </c>
      <c r="B17">
        <v>1</v>
      </c>
      <c r="C17">
        <v>1</v>
      </c>
      <c r="D17">
        <v>1</v>
      </c>
      <c r="E17">
        <v>0.8</v>
      </c>
      <c r="F17">
        <v>0.5</v>
      </c>
      <c r="G17">
        <v>0.3</v>
      </c>
      <c r="H17">
        <v>0.1</v>
      </c>
    </row>
    <row r="18" spans="1:8" x14ac:dyDescent="0.25">
      <c r="A18" s="1" t="s">
        <v>15</v>
      </c>
      <c r="B18">
        <v>1</v>
      </c>
      <c r="C18">
        <v>1</v>
      </c>
      <c r="D18">
        <v>1</v>
      </c>
      <c r="E18">
        <v>0.9</v>
      </c>
      <c r="F18">
        <v>0.6</v>
      </c>
      <c r="G18">
        <v>0.4</v>
      </c>
      <c r="H18">
        <v>0.2</v>
      </c>
    </row>
    <row r="19" spans="1:8" x14ac:dyDescent="0.25">
      <c r="A19" s="1" t="s">
        <v>16</v>
      </c>
      <c r="B19">
        <v>1</v>
      </c>
      <c r="C19">
        <v>1</v>
      </c>
      <c r="D19">
        <v>1</v>
      </c>
      <c r="E19">
        <v>0.9</v>
      </c>
      <c r="F19">
        <v>0.7</v>
      </c>
      <c r="G19">
        <v>0.4</v>
      </c>
      <c r="H19">
        <v>0.2</v>
      </c>
    </row>
    <row r="20" spans="1:8" x14ac:dyDescent="0.25">
      <c r="A20" s="1" t="s">
        <v>17</v>
      </c>
      <c r="B20">
        <v>1</v>
      </c>
      <c r="C20">
        <v>1</v>
      </c>
      <c r="D20">
        <v>1</v>
      </c>
      <c r="E20">
        <v>0.9</v>
      </c>
      <c r="F20">
        <v>0.7</v>
      </c>
      <c r="G20">
        <v>0.4</v>
      </c>
      <c r="H20">
        <v>0.2</v>
      </c>
    </row>
    <row r="21" spans="1:8" x14ac:dyDescent="0.25">
      <c r="A21" s="1" t="s">
        <v>18</v>
      </c>
      <c r="B21">
        <v>1</v>
      </c>
      <c r="C21">
        <v>1</v>
      </c>
      <c r="D21">
        <v>1</v>
      </c>
      <c r="E21">
        <v>0.8</v>
      </c>
      <c r="F21">
        <v>0.6</v>
      </c>
      <c r="G21">
        <v>0.3</v>
      </c>
      <c r="H21">
        <v>0.1</v>
      </c>
    </row>
    <row r="22" spans="1:8" x14ac:dyDescent="0.25">
      <c r="A22" s="1" t="s">
        <v>19</v>
      </c>
      <c r="B22">
        <v>1</v>
      </c>
      <c r="C22">
        <v>1</v>
      </c>
      <c r="D22">
        <v>1</v>
      </c>
      <c r="E22">
        <v>0.9</v>
      </c>
      <c r="F22">
        <v>0.7</v>
      </c>
      <c r="G22">
        <v>0.4</v>
      </c>
      <c r="H22">
        <v>0.2</v>
      </c>
    </row>
    <row r="23" spans="1:8" x14ac:dyDescent="0.25">
      <c r="A23" s="1" t="s">
        <v>20</v>
      </c>
      <c r="B23">
        <v>1</v>
      </c>
      <c r="C23">
        <v>1</v>
      </c>
      <c r="D23">
        <v>1</v>
      </c>
      <c r="E23">
        <v>0.8</v>
      </c>
      <c r="F23">
        <v>0.6</v>
      </c>
      <c r="G23">
        <v>0.3</v>
      </c>
      <c r="H23">
        <v>0.1</v>
      </c>
    </row>
    <row r="24" spans="1:8" x14ac:dyDescent="0.25">
      <c r="A24" s="1" t="s">
        <v>21</v>
      </c>
      <c r="B24">
        <v>1</v>
      </c>
      <c r="C24">
        <v>1</v>
      </c>
      <c r="D24">
        <v>1</v>
      </c>
      <c r="E24">
        <v>0.8</v>
      </c>
      <c r="F24">
        <v>0.6</v>
      </c>
      <c r="G24">
        <v>0.3</v>
      </c>
      <c r="H24">
        <v>0.1</v>
      </c>
    </row>
    <row r="25" spans="1:8" x14ac:dyDescent="0.25">
      <c r="A25" s="1" t="s">
        <v>22</v>
      </c>
      <c r="B25">
        <v>1</v>
      </c>
      <c r="C25">
        <v>1</v>
      </c>
      <c r="D25">
        <v>1</v>
      </c>
      <c r="E25">
        <v>0.9</v>
      </c>
      <c r="F25">
        <v>0.8</v>
      </c>
      <c r="G25">
        <v>0.6</v>
      </c>
      <c r="H25">
        <v>0.4</v>
      </c>
    </row>
    <row r="26" spans="1:8" x14ac:dyDescent="0.25">
      <c r="A26" s="1" t="s">
        <v>23</v>
      </c>
      <c r="B26">
        <v>1</v>
      </c>
      <c r="C26">
        <v>1</v>
      </c>
      <c r="D26">
        <v>1</v>
      </c>
      <c r="E26">
        <v>0.9</v>
      </c>
      <c r="F26">
        <v>0.7</v>
      </c>
      <c r="G26">
        <v>0.4</v>
      </c>
      <c r="H26">
        <v>0.2</v>
      </c>
    </row>
  </sheetData>
  <mergeCells count="2">
    <mergeCell ref="A1:A2"/>
    <mergeCell ref="B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topLeftCell="J1" workbookViewId="0">
      <selection activeCell="G24" sqref="G24"/>
    </sheetView>
  </sheetViews>
  <sheetFormatPr defaultRowHeight="15" x14ac:dyDescent="0.25"/>
  <cols>
    <col min="1" max="1" width="19.28515625" bestFit="1" customWidth="1"/>
    <col min="2" max="2" width="24.7109375" bestFit="1" customWidth="1"/>
    <col min="3" max="3" width="11.42578125" bestFit="1" customWidth="1"/>
    <col min="4" max="4" width="14.7109375" bestFit="1" customWidth="1"/>
    <col min="5" max="5" width="11.28515625" bestFit="1" customWidth="1"/>
    <col min="6" max="6" width="5.28515625" bestFit="1" customWidth="1"/>
    <col min="7" max="7" width="8.28515625" bestFit="1" customWidth="1"/>
    <col min="8" max="8" width="5.7109375" bestFit="1" customWidth="1"/>
    <col min="9" max="9" width="11.7109375" bestFit="1" customWidth="1"/>
    <col min="10" max="10" width="16.28515625" bestFit="1" customWidth="1"/>
    <col min="11" max="11" width="11.42578125" bestFit="1" customWidth="1"/>
    <col min="12" max="12" width="14.7109375" bestFit="1" customWidth="1"/>
    <col min="13" max="13" width="11.28515625" bestFit="1" customWidth="1"/>
    <col min="14" max="14" width="5.28515625" bestFit="1" customWidth="1"/>
    <col min="15" max="15" width="8.28515625" bestFit="1" customWidth="1"/>
    <col min="16" max="16" width="5.7109375" bestFit="1" customWidth="1"/>
    <col min="17" max="17" width="11.7109375" bestFit="1" customWidth="1"/>
    <col min="18" max="18" width="16.28515625" bestFit="1" customWidth="1"/>
    <col min="19" max="19" width="11.42578125" bestFit="1" customWidth="1"/>
    <col min="20" max="20" width="14.7109375" bestFit="1" customWidth="1"/>
    <col min="21" max="21" width="11.28515625" bestFit="1" customWidth="1"/>
    <col min="22" max="22" width="5.28515625" bestFit="1" customWidth="1"/>
    <col min="23" max="23" width="8.28515625" bestFit="1" customWidth="1"/>
    <col min="24" max="24" width="5.7109375" bestFit="1" customWidth="1"/>
    <col min="25" max="25" width="11.7109375" bestFit="1" customWidth="1"/>
    <col min="26" max="26" width="16.28515625" bestFit="1" customWidth="1"/>
    <col min="27" max="27" width="9.140625" customWidth="1"/>
  </cols>
  <sheetData>
    <row r="1" spans="1:28" x14ac:dyDescent="0.25">
      <c r="A1" s="57" t="s">
        <v>24</v>
      </c>
      <c r="B1" s="17" t="s">
        <v>56</v>
      </c>
      <c r="C1" s="56" t="s">
        <v>58</v>
      </c>
      <c r="D1" s="56"/>
      <c r="E1" s="56"/>
      <c r="F1" s="56"/>
      <c r="G1" s="56"/>
      <c r="H1" s="56"/>
      <c r="I1" s="56"/>
      <c r="J1" s="59"/>
      <c r="K1" s="55" t="s">
        <v>63</v>
      </c>
      <c r="L1" s="56"/>
      <c r="M1" s="56"/>
      <c r="N1" s="56"/>
      <c r="O1" s="56"/>
      <c r="P1" s="56"/>
      <c r="Q1" s="56"/>
      <c r="R1" s="59"/>
      <c r="S1" s="55" t="s">
        <v>67</v>
      </c>
      <c r="T1" s="56"/>
      <c r="U1" s="56"/>
      <c r="V1" s="56"/>
      <c r="W1" s="56"/>
      <c r="X1" s="56"/>
      <c r="Y1" s="56"/>
      <c r="Z1" s="59"/>
      <c r="AB1" s="4"/>
    </row>
    <row r="2" spans="1:28" x14ac:dyDescent="0.25">
      <c r="A2" s="58"/>
      <c r="B2" s="5" t="s">
        <v>57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63</v>
      </c>
      <c r="H2" s="5" t="s">
        <v>64</v>
      </c>
      <c r="I2" s="5" t="s">
        <v>65</v>
      </c>
      <c r="J2" s="6" t="s">
        <v>66</v>
      </c>
      <c r="K2" s="7" t="s">
        <v>59</v>
      </c>
      <c r="L2" s="5" t="s">
        <v>60</v>
      </c>
      <c r="M2" s="5" t="s">
        <v>61</v>
      </c>
      <c r="N2" s="5" t="s">
        <v>62</v>
      </c>
      <c r="O2" s="5" t="s">
        <v>63</v>
      </c>
      <c r="P2" s="5" t="s">
        <v>64</v>
      </c>
      <c r="Q2" s="5" t="s">
        <v>65</v>
      </c>
      <c r="R2" s="6" t="s">
        <v>66</v>
      </c>
      <c r="S2" s="7" t="s">
        <v>59</v>
      </c>
      <c r="T2" s="5" t="s">
        <v>60</v>
      </c>
      <c r="U2" s="5" t="s">
        <v>61</v>
      </c>
      <c r="V2" s="5" t="s">
        <v>62</v>
      </c>
      <c r="W2" s="5" t="s">
        <v>63</v>
      </c>
      <c r="X2" s="5" t="s">
        <v>64</v>
      </c>
      <c r="Y2" s="5" t="s">
        <v>65</v>
      </c>
      <c r="Z2" s="6" t="s">
        <v>66</v>
      </c>
    </row>
    <row r="3" spans="1:28" x14ac:dyDescent="0.25">
      <c r="A3" s="7" t="s">
        <v>0</v>
      </c>
      <c r="B3" s="8"/>
      <c r="C3" s="8">
        <v>0.5</v>
      </c>
      <c r="D3" s="8">
        <v>0.9</v>
      </c>
      <c r="E3" s="8">
        <v>1</v>
      </c>
      <c r="F3" s="8">
        <v>1</v>
      </c>
      <c r="G3" s="8">
        <v>0.9</v>
      </c>
      <c r="H3" s="8">
        <v>0.8</v>
      </c>
      <c r="I3" s="8">
        <v>0.8</v>
      </c>
      <c r="J3" s="9">
        <v>0.9</v>
      </c>
      <c r="K3" s="13">
        <v>0.4</v>
      </c>
      <c r="L3" s="8">
        <v>0.7</v>
      </c>
      <c r="M3" s="8">
        <v>0.9</v>
      </c>
      <c r="N3" s="8">
        <v>1</v>
      </c>
      <c r="O3" s="8">
        <v>1</v>
      </c>
      <c r="P3" s="8">
        <v>0.8</v>
      </c>
      <c r="Q3" s="8">
        <v>0.8</v>
      </c>
      <c r="R3" s="9">
        <v>0.9</v>
      </c>
      <c r="S3" s="13">
        <v>0.4</v>
      </c>
      <c r="T3" s="8">
        <v>0.7</v>
      </c>
      <c r="U3" s="8">
        <v>0.9</v>
      </c>
      <c r="V3" s="8">
        <v>1</v>
      </c>
      <c r="W3" s="8">
        <v>1</v>
      </c>
      <c r="X3" s="8">
        <v>0.8</v>
      </c>
      <c r="Y3" s="8">
        <v>0.8</v>
      </c>
      <c r="Z3" s="9">
        <v>0.9</v>
      </c>
    </row>
    <row r="4" spans="1:28" x14ac:dyDescent="0.25">
      <c r="A4" s="7" t="s">
        <v>1</v>
      </c>
      <c r="B4" s="8"/>
      <c r="C4" s="8">
        <v>0.6</v>
      </c>
      <c r="D4" s="8">
        <v>1</v>
      </c>
      <c r="E4" s="8">
        <v>1</v>
      </c>
      <c r="F4" s="8">
        <v>1</v>
      </c>
      <c r="G4" s="8">
        <v>0.8</v>
      </c>
      <c r="H4" s="8">
        <v>0.8</v>
      </c>
      <c r="I4" s="8">
        <v>0.8</v>
      </c>
      <c r="J4" s="9">
        <v>1</v>
      </c>
      <c r="K4" s="13">
        <v>0.5</v>
      </c>
      <c r="L4" s="8">
        <v>0.8</v>
      </c>
      <c r="M4" s="8">
        <v>1</v>
      </c>
      <c r="N4" s="8">
        <v>1</v>
      </c>
      <c r="O4" s="8">
        <v>0.9</v>
      </c>
      <c r="P4" s="8">
        <v>0.8</v>
      </c>
      <c r="Q4" s="8">
        <v>0.8</v>
      </c>
      <c r="R4" s="9">
        <v>1</v>
      </c>
      <c r="S4" s="13">
        <v>0.5</v>
      </c>
      <c r="T4" s="8">
        <v>0.8</v>
      </c>
      <c r="U4" s="8">
        <v>1</v>
      </c>
      <c r="V4" s="8">
        <v>1</v>
      </c>
      <c r="W4" s="8">
        <v>0.9</v>
      </c>
      <c r="X4" s="8">
        <v>0.8</v>
      </c>
      <c r="Y4" s="8">
        <v>0.8</v>
      </c>
      <c r="Z4" s="9">
        <v>1</v>
      </c>
    </row>
    <row r="5" spans="1:28" x14ac:dyDescent="0.25">
      <c r="A5" s="7" t="s">
        <v>2</v>
      </c>
      <c r="B5" s="8"/>
      <c r="C5" s="8">
        <v>0.1</v>
      </c>
      <c r="D5" s="8">
        <v>0.1</v>
      </c>
      <c r="E5" s="8">
        <v>0.4</v>
      </c>
      <c r="F5" s="8">
        <v>1</v>
      </c>
      <c r="G5" s="8">
        <v>0.9</v>
      </c>
      <c r="H5" s="8">
        <v>0.8</v>
      </c>
      <c r="I5" s="8">
        <v>0.8</v>
      </c>
      <c r="J5" s="9">
        <v>0.6</v>
      </c>
      <c r="K5" s="13">
        <v>0.1</v>
      </c>
      <c r="L5" s="8">
        <v>0.1</v>
      </c>
      <c r="M5" s="8">
        <v>0.3</v>
      </c>
      <c r="N5" s="8">
        <v>1</v>
      </c>
      <c r="O5" s="8">
        <v>0.9</v>
      </c>
      <c r="P5" s="8">
        <v>0.8</v>
      </c>
      <c r="Q5" s="8">
        <v>0.8</v>
      </c>
      <c r="R5" s="9">
        <v>0.6</v>
      </c>
      <c r="S5" s="13">
        <v>0.1</v>
      </c>
      <c r="T5" s="8">
        <v>0.1</v>
      </c>
      <c r="U5" s="8">
        <v>0.3</v>
      </c>
      <c r="V5" s="8">
        <v>1</v>
      </c>
      <c r="W5" s="8">
        <v>0.9</v>
      </c>
      <c r="X5" s="8">
        <v>0.8</v>
      </c>
      <c r="Y5" s="8">
        <v>0.8</v>
      </c>
      <c r="Z5" s="9">
        <v>0.6</v>
      </c>
    </row>
    <row r="6" spans="1:28" x14ac:dyDescent="0.25">
      <c r="A6" s="7" t="s">
        <v>3</v>
      </c>
      <c r="B6" s="8"/>
      <c r="C6" s="8">
        <v>0.1</v>
      </c>
      <c r="D6" s="8">
        <v>0.1</v>
      </c>
      <c r="E6" s="8">
        <v>0.6</v>
      </c>
      <c r="F6" s="8">
        <v>1</v>
      </c>
      <c r="G6" s="8">
        <v>0.9</v>
      </c>
      <c r="H6" s="8">
        <v>0.8</v>
      </c>
      <c r="I6" s="8">
        <v>0.8</v>
      </c>
      <c r="J6" s="9">
        <v>0.7</v>
      </c>
      <c r="K6" s="13">
        <v>0.1</v>
      </c>
      <c r="L6" s="8">
        <v>0.1</v>
      </c>
      <c r="M6" s="8">
        <v>0.5</v>
      </c>
      <c r="N6" s="8">
        <v>1</v>
      </c>
      <c r="O6" s="8">
        <v>1</v>
      </c>
      <c r="P6" s="8">
        <v>0.8</v>
      </c>
      <c r="Q6" s="8">
        <v>0.8</v>
      </c>
      <c r="R6" s="9">
        <v>0.7</v>
      </c>
      <c r="S6" s="13">
        <v>0.1</v>
      </c>
      <c r="T6" s="8">
        <v>0.1</v>
      </c>
      <c r="U6" s="8">
        <v>0.5</v>
      </c>
      <c r="V6" s="8">
        <v>1</v>
      </c>
      <c r="W6" s="8">
        <v>1</v>
      </c>
      <c r="X6" s="8">
        <v>0.8</v>
      </c>
      <c r="Y6" s="8">
        <v>0.8</v>
      </c>
      <c r="Z6" s="9">
        <v>0.7</v>
      </c>
    </row>
    <row r="7" spans="1:28" x14ac:dyDescent="0.25">
      <c r="A7" s="7" t="s">
        <v>4</v>
      </c>
      <c r="B7" s="8"/>
      <c r="C7" s="8">
        <v>0.1</v>
      </c>
      <c r="D7" s="8">
        <v>0.1</v>
      </c>
      <c r="E7" s="8">
        <v>0.4</v>
      </c>
      <c r="F7" s="8">
        <v>1</v>
      </c>
      <c r="G7" s="8">
        <v>0.9</v>
      </c>
      <c r="H7" s="8">
        <v>0.8</v>
      </c>
      <c r="I7" s="8">
        <v>0.8</v>
      </c>
      <c r="J7" s="9">
        <v>0.7</v>
      </c>
      <c r="K7" s="13">
        <v>0.1</v>
      </c>
      <c r="L7" s="8">
        <v>0.1</v>
      </c>
      <c r="M7" s="8">
        <v>0.2</v>
      </c>
      <c r="N7" s="8">
        <v>1</v>
      </c>
      <c r="O7" s="8">
        <v>1</v>
      </c>
      <c r="P7" s="8">
        <v>0.8</v>
      </c>
      <c r="Q7" s="8">
        <v>0.8</v>
      </c>
      <c r="R7" s="9">
        <v>0.7</v>
      </c>
      <c r="S7" s="13">
        <v>0.1</v>
      </c>
      <c r="T7" s="8">
        <v>0.1</v>
      </c>
      <c r="U7" s="8">
        <v>0.2</v>
      </c>
      <c r="V7" s="8">
        <v>1</v>
      </c>
      <c r="W7" s="8">
        <v>1</v>
      </c>
      <c r="X7" s="8">
        <v>0.8</v>
      </c>
      <c r="Y7" s="8">
        <v>0.8</v>
      </c>
      <c r="Z7" s="9">
        <v>0.7</v>
      </c>
    </row>
    <row r="8" spans="1:28" x14ac:dyDescent="0.25">
      <c r="A8" s="7" t="s">
        <v>5</v>
      </c>
      <c r="B8" s="8"/>
      <c r="C8" s="8">
        <v>0.1</v>
      </c>
      <c r="D8" s="8">
        <v>0.1</v>
      </c>
      <c r="E8" s="8">
        <v>0.4</v>
      </c>
      <c r="F8" s="8">
        <v>1</v>
      </c>
      <c r="G8" s="8">
        <v>0.9</v>
      </c>
      <c r="H8" s="8">
        <v>0.8</v>
      </c>
      <c r="I8" s="8">
        <v>0.8</v>
      </c>
      <c r="J8" s="9">
        <v>0.5</v>
      </c>
      <c r="K8" s="13">
        <v>0.1</v>
      </c>
      <c r="L8" s="8">
        <v>0.1</v>
      </c>
      <c r="M8" s="8">
        <v>0.3</v>
      </c>
      <c r="N8" s="8">
        <v>0.9</v>
      </c>
      <c r="O8" s="8">
        <v>1</v>
      </c>
      <c r="P8" s="8">
        <v>0.8</v>
      </c>
      <c r="Q8" s="8">
        <v>0.8</v>
      </c>
      <c r="R8" s="9">
        <v>0.5</v>
      </c>
      <c r="S8" s="13">
        <v>0.1</v>
      </c>
      <c r="T8" s="8">
        <v>0.1</v>
      </c>
      <c r="U8" s="8">
        <v>0.3</v>
      </c>
      <c r="V8" s="8">
        <v>0.9</v>
      </c>
      <c r="W8" s="8">
        <v>1</v>
      </c>
      <c r="X8" s="8">
        <v>0.8</v>
      </c>
      <c r="Y8" s="8">
        <v>0.8</v>
      </c>
      <c r="Z8" s="9">
        <v>0.5</v>
      </c>
    </row>
    <row r="9" spans="1:28" x14ac:dyDescent="0.25">
      <c r="A9" s="7" t="s">
        <v>6</v>
      </c>
      <c r="B9" s="8"/>
      <c r="C9" s="8">
        <v>0.1</v>
      </c>
      <c r="D9" s="8">
        <v>0.1</v>
      </c>
      <c r="E9" s="8">
        <v>0.6</v>
      </c>
      <c r="F9" s="8">
        <v>1</v>
      </c>
      <c r="G9" s="8">
        <v>0.9</v>
      </c>
      <c r="H9" s="8">
        <v>0.8</v>
      </c>
      <c r="I9" s="8">
        <v>0.8</v>
      </c>
      <c r="J9" s="9">
        <v>0.3</v>
      </c>
      <c r="K9" s="13">
        <v>0.1</v>
      </c>
      <c r="L9" s="8">
        <v>0.1</v>
      </c>
      <c r="M9" s="8">
        <v>0.4</v>
      </c>
      <c r="N9" s="8">
        <v>1</v>
      </c>
      <c r="O9" s="8">
        <v>1</v>
      </c>
      <c r="P9" s="8">
        <v>0.8</v>
      </c>
      <c r="Q9" s="8">
        <v>0.8</v>
      </c>
      <c r="R9" s="9">
        <v>0.3</v>
      </c>
      <c r="S9" s="13">
        <v>0.1</v>
      </c>
      <c r="T9" s="8">
        <v>0.1</v>
      </c>
      <c r="U9" s="8">
        <v>0.4</v>
      </c>
      <c r="V9" s="8">
        <v>1</v>
      </c>
      <c r="W9" s="8">
        <v>1</v>
      </c>
      <c r="X9" s="8">
        <v>0.8</v>
      </c>
      <c r="Y9" s="8">
        <v>0.8</v>
      </c>
      <c r="Z9" s="9">
        <v>0.3</v>
      </c>
    </row>
    <row r="10" spans="1:28" x14ac:dyDescent="0.25">
      <c r="A10" s="7" t="s">
        <v>7</v>
      </c>
      <c r="B10" s="8"/>
      <c r="C10" s="8">
        <v>0.1</v>
      </c>
      <c r="D10" s="8">
        <v>0.1</v>
      </c>
      <c r="E10" s="8">
        <v>0.6</v>
      </c>
      <c r="F10" s="8">
        <v>1</v>
      </c>
      <c r="G10" s="8">
        <v>0.9</v>
      </c>
      <c r="H10" s="8">
        <v>0.8</v>
      </c>
      <c r="I10" s="8">
        <v>0.8</v>
      </c>
      <c r="J10" s="9">
        <v>0.3</v>
      </c>
      <c r="K10" s="13">
        <v>0.1</v>
      </c>
      <c r="L10" s="8">
        <v>0.1</v>
      </c>
      <c r="M10" s="8">
        <v>0.5</v>
      </c>
      <c r="N10" s="8">
        <v>1</v>
      </c>
      <c r="O10" s="8">
        <v>1</v>
      </c>
      <c r="P10" s="8">
        <v>0.8</v>
      </c>
      <c r="Q10" s="8">
        <v>0.8</v>
      </c>
      <c r="R10" s="9">
        <v>0.3</v>
      </c>
      <c r="S10" s="13">
        <v>0.1</v>
      </c>
      <c r="T10" s="8">
        <v>0.1</v>
      </c>
      <c r="U10" s="8">
        <v>0.5</v>
      </c>
      <c r="V10" s="8">
        <v>1</v>
      </c>
      <c r="W10" s="8">
        <v>1</v>
      </c>
      <c r="X10" s="8">
        <v>0.8</v>
      </c>
      <c r="Y10" s="8">
        <v>0.8</v>
      </c>
      <c r="Z10" s="9">
        <v>0.3</v>
      </c>
    </row>
    <row r="11" spans="1:28" x14ac:dyDescent="0.25">
      <c r="A11" s="7" t="s">
        <v>8</v>
      </c>
      <c r="B11" s="8"/>
      <c r="C11" s="8">
        <v>0.1</v>
      </c>
      <c r="D11" s="8">
        <v>0.1</v>
      </c>
      <c r="E11" s="8">
        <v>0.6</v>
      </c>
      <c r="F11" s="8">
        <v>1</v>
      </c>
      <c r="G11" s="8">
        <v>0.9</v>
      </c>
      <c r="H11" s="8">
        <v>0.8</v>
      </c>
      <c r="I11" s="8">
        <v>0.8</v>
      </c>
      <c r="J11" s="9">
        <v>0.6</v>
      </c>
      <c r="K11" s="13">
        <v>0.1</v>
      </c>
      <c r="L11" s="8">
        <v>0.1</v>
      </c>
      <c r="M11" s="8">
        <v>0.5</v>
      </c>
      <c r="N11" s="8">
        <v>0.8</v>
      </c>
      <c r="O11" s="8">
        <v>1</v>
      </c>
      <c r="P11" s="8">
        <v>0.8</v>
      </c>
      <c r="Q11" s="8">
        <v>0.8</v>
      </c>
      <c r="R11" s="9">
        <v>0.6</v>
      </c>
      <c r="S11" s="13">
        <v>0.1</v>
      </c>
      <c r="T11" s="8">
        <v>0.1</v>
      </c>
      <c r="U11" s="8">
        <v>0.5</v>
      </c>
      <c r="V11" s="8">
        <v>0.8</v>
      </c>
      <c r="W11" s="8">
        <v>1</v>
      </c>
      <c r="X11" s="8">
        <v>0.8</v>
      </c>
      <c r="Y11" s="8">
        <v>0.8</v>
      </c>
      <c r="Z11" s="9">
        <v>0.6</v>
      </c>
    </row>
    <row r="12" spans="1:28" x14ac:dyDescent="0.25">
      <c r="A12" s="7" t="s">
        <v>9</v>
      </c>
      <c r="B12" s="8"/>
      <c r="C12" s="8">
        <v>0.1</v>
      </c>
      <c r="D12" s="8">
        <v>0.1</v>
      </c>
      <c r="E12" s="8">
        <v>0.6</v>
      </c>
      <c r="F12" s="8">
        <v>1</v>
      </c>
      <c r="G12" s="8">
        <v>0.9</v>
      </c>
      <c r="H12" s="8">
        <v>0.8</v>
      </c>
      <c r="I12" s="8">
        <v>0.8</v>
      </c>
      <c r="J12" s="9">
        <v>0.7</v>
      </c>
      <c r="K12" s="13">
        <v>0.1</v>
      </c>
      <c r="L12" s="8">
        <v>0.1</v>
      </c>
      <c r="M12" s="8">
        <v>0.5</v>
      </c>
      <c r="N12" s="8">
        <v>0.8</v>
      </c>
      <c r="O12" s="8">
        <v>1</v>
      </c>
      <c r="P12" s="8">
        <v>0.8</v>
      </c>
      <c r="Q12" s="8">
        <v>0.8</v>
      </c>
      <c r="R12" s="9">
        <v>0.7</v>
      </c>
      <c r="S12" s="13">
        <v>0.1</v>
      </c>
      <c r="T12" s="8">
        <v>0.1</v>
      </c>
      <c r="U12" s="8">
        <v>0.5</v>
      </c>
      <c r="V12" s="8">
        <v>0.8</v>
      </c>
      <c r="W12" s="8">
        <v>1</v>
      </c>
      <c r="X12" s="8">
        <v>0.8</v>
      </c>
      <c r="Y12" s="8">
        <v>0.8</v>
      </c>
      <c r="Z12" s="9">
        <v>0.7</v>
      </c>
    </row>
    <row r="13" spans="1:28" x14ac:dyDescent="0.25">
      <c r="A13" s="7" t="s">
        <v>10</v>
      </c>
      <c r="B13" s="8"/>
      <c r="C13" s="8">
        <v>0.2</v>
      </c>
      <c r="D13" s="8">
        <v>0.5</v>
      </c>
      <c r="E13" s="8">
        <v>0.7</v>
      </c>
      <c r="F13" s="8">
        <v>1</v>
      </c>
      <c r="G13" s="8">
        <v>0.9</v>
      </c>
      <c r="H13" s="8">
        <v>0.8</v>
      </c>
      <c r="I13" s="8">
        <v>0.8</v>
      </c>
      <c r="J13" s="9">
        <v>0.5</v>
      </c>
      <c r="K13" s="13">
        <v>0.1</v>
      </c>
      <c r="L13" s="8">
        <v>0.4</v>
      </c>
      <c r="M13" s="8">
        <v>0.6</v>
      </c>
      <c r="N13" s="8">
        <v>0.9</v>
      </c>
      <c r="O13" s="8">
        <v>1</v>
      </c>
      <c r="P13" s="8">
        <v>0.8</v>
      </c>
      <c r="Q13" s="8">
        <v>0.8</v>
      </c>
      <c r="R13" s="9">
        <v>0.5</v>
      </c>
      <c r="S13" s="13">
        <v>0.1</v>
      </c>
      <c r="T13" s="8">
        <v>0.4</v>
      </c>
      <c r="U13" s="8">
        <v>0.6</v>
      </c>
      <c r="V13" s="8">
        <v>0.9</v>
      </c>
      <c r="W13" s="8">
        <v>1</v>
      </c>
      <c r="X13" s="8">
        <v>0.8</v>
      </c>
      <c r="Y13" s="8">
        <v>0.8</v>
      </c>
      <c r="Z13" s="9">
        <v>0.5</v>
      </c>
    </row>
    <row r="14" spans="1:28" x14ac:dyDescent="0.25">
      <c r="A14" s="7" t="s">
        <v>11</v>
      </c>
      <c r="B14" s="8"/>
      <c r="C14" s="8">
        <v>0.2</v>
      </c>
      <c r="D14" s="8">
        <v>0.5</v>
      </c>
      <c r="E14" s="8">
        <v>0.7</v>
      </c>
      <c r="F14" s="8">
        <v>1</v>
      </c>
      <c r="G14" s="8">
        <v>0.9</v>
      </c>
      <c r="H14" s="8">
        <v>0.8</v>
      </c>
      <c r="I14" s="8">
        <v>0.8</v>
      </c>
      <c r="J14" s="9">
        <v>0.5</v>
      </c>
      <c r="K14" s="13">
        <v>0.1</v>
      </c>
      <c r="L14" s="8">
        <v>0.4</v>
      </c>
      <c r="M14" s="8">
        <v>0.6</v>
      </c>
      <c r="N14" s="8">
        <v>0.9</v>
      </c>
      <c r="O14" s="8">
        <v>1</v>
      </c>
      <c r="P14" s="8">
        <v>0.8</v>
      </c>
      <c r="Q14" s="8">
        <v>0.8</v>
      </c>
      <c r="R14" s="9">
        <v>0.5</v>
      </c>
      <c r="S14" s="13">
        <v>0.1</v>
      </c>
      <c r="T14" s="8">
        <v>0.4</v>
      </c>
      <c r="U14" s="8">
        <v>0.6</v>
      </c>
      <c r="V14" s="8">
        <v>0.9</v>
      </c>
      <c r="W14" s="8">
        <v>1</v>
      </c>
      <c r="X14" s="8">
        <v>0.8</v>
      </c>
      <c r="Y14" s="8">
        <v>0.8</v>
      </c>
      <c r="Z14" s="9">
        <v>0.5</v>
      </c>
    </row>
    <row r="15" spans="1:28" x14ac:dyDescent="0.25">
      <c r="A15" s="7" t="s">
        <v>12</v>
      </c>
      <c r="B15" s="8"/>
      <c r="C15" s="8">
        <v>0.2</v>
      </c>
      <c r="D15" s="8">
        <v>0.6</v>
      </c>
      <c r="E15" s="8">
        <v>0.8</v>
      </c>
      <c r="F15" s="8">
        <v>1</v>
      </c>
      <c r="G15" s="8">
        <v>1</v>
      </c>
      <c r="H15" s="8">
        <v>0.8</v>
      </c>
      <c r="I15" s="8">
        <v>0.8</v>
      </c>
      <c r="J15" s="9">
        <v>0.6</v>
      </c>
      <c r="K15" s="13">
        <v>0.1</v>
      </c>
      <c r="L15" s="8">
        <v>0.5</v>
      </c>
      <c r="M15" s="8">
        <v>0.7</v>
      </c>
      <c r="N15" s="8">
        <v>1</v>
      </c>
      <c r="O15" s="8">
        <v>1</v>
      </c>
      <c r="P15" s="8">
        <v>0.8</v>
      </c>
      <c r="Q15" s="8">
        <v>0.8</v>
      </c>
      <c r="R15" s="9">
        <v>0.6</v>
      </c>
      <c r="S15" s="13">
        <v>0.1</v>
      </c>
      <c r="T15" s="8">
        <v>0.5</v>
      </c>
      <c r="U15" s="8">
        <v>0.7</v>
      </c>
      <c r="V15" s="8">
        <v>1</v>
      </c>
      <c r="W15" s="8">
        <v>1</v>
      </c>
      <c r="X15" s="8">
        <v>0.8</v>
      </c>
      <c r="Y15" s="8">
        <v>0.8</v>
      </c>
      <c r="Z15" s="9">
        <v>0.6</v>
      </c>
    </row>
    <row r="16" spans="1:28" x14ac:dyDescent="0.25">
      <c r="A16" s="7" t="s">
        <v>13</v>
      </c>
      <c r="B16" s="8"/>
      <c r="C16" s="8">
        <v>0.2</v>
      </c>
      <c r="D16" s="8">
        <v>0.6</v>
      </c>
      <c r="E16" s="8">
        <v>0.8</v>
      </c>
      <c r="F16" s="8">
        <v>1</v>
      </c>
      <c r="G16" s="8">
        <v>0.9</v>
      </c>
      <c r="H16" s="8">
        <v>0.8</v>
      </c>
      <c r="I16" s="8">
        <v>0.8</v>
      </c>
      <c r="J16" s="9">
        <v>0.6</v>
      </c>
      <c r="K16" s="13">
        <v>0.1</v>
      </c>
      <c r="L16" s="8">
        <v>0.5</v>
      </c>
      <c r="M16" s="8">
        <v>0.7</v>
      </c>
      <c r="N16" s="8">
        <v>0.9</v>
      </c>
      <c r="O16" s="8">
        <v>1</v>
      </c>
      <c r="P16" s="8">
        <v>0.8</v>
      </c>
      <c r="Q16" s="8">
        <v>0.8</v>
      </c>
      <c r="R16" s="9">
        <v>0.6</v>
      </c>
      <c r="S16" s="13">
        <v>0.1</v>
      </c>
      <c r="T16" s="8">
        <v>0.5</v>
      </c>
      <c r="U16" s="8">
        <v>0.7</v>
      </c>
      <c r="V16" s="8">
        <v>0.9</v>
      </c>
      <c r="W16" s="8">
        <v>1</v>
      </c>
      <c r="X16" s="8">
        <v>0.8</v>
      </c>
      <c r="Y16" s="8">
        <v>0.8</v>
      </c>
      <c r="Z16" s="9">
        <v>0.6</v>
      </c>
    </row>
    <row r="17" spans="1:26" x14ac:dyDescent="0.25">
      <c r="A17" s="7" t="s">
        <v>14</v>
      </c>
      <c r="B17" s="8"/>
      <c r="C17" s="8">
        <v>0.2</v>
      </c>
      <c r="D17" s="8">
        <v>0.5</v>
      </c>
      <c r="E17" s="8">
        <v>0.7</v>
      </c>
      <c r="F17" s="8">
        <v>1</v>
      </c>
      <c r="G17" s="8">
        <v>0.9</v>
      </c>
      <c r="H17" s="8">
        <v>0.8</v>
      </c>
      <c r="I17" s="8">
        <v>0.8</v>
      </c>
      <c r="J17" s="9">
        <v>0.6</v>
      </c>
      <c r="K17" s="13">
        <v>0.1</v>
      </c>
      <c r="L17" s="8">
        <v>0.4</v>
      </c>
      <c r="M17" s="8">
        <v>0.6</v>
      </c>
      <c r="N17" s="8">
        <v>0.9</v>
      </c>
      <c r="O17" s="8">
        <v>1</v>
      </c>
      <c r="P17" s="8">
        <v>0.8</v>
      </c>
      <c r="Q17" s="8">
        <v>0.8</v>
      </c>
      <c r="R17" s="9">
        <v>0.6</v>
      </c>
      <c r="S17" s="13">
        <v>0.1</v>
      </c>
      <c r="T17" s="8">
        <v>0.4</v>
      </c>
      <c r="U17" s="8">
        <v>0.6</v>
      </c>
      <c r="V17" s="8">
        <v>0.9</v>
      </c>
      <c r="W17" s="8">
        <v>1</v>
      </c>
      <c r="X17" s="8">
        <v>0.8</v>
      </c>
      <c r="Y17" s="8">
        <v>0.8</v>
      </c>
      <c r="Z17" s="9">
        <v>0.6</v>
      </c>
    </row>
    <row r="18" spans="1:26" x14ac:dyDescent="0.25">
      <c r="A18" s="7" t="s">
        <v>15</v>
      </c>
      <c r="B18" s="8"/>
      <c r="C18" s="8">
        <v>0.2</v>
      </c>
      <c r="D18" s="8">
        <v>0.6</v>
      </c>
      <c r="E18" s="8">
        <v>0.8</v>
      </c>
      <c r="F18" s="8">
        <v>1</v>
      </c>
      <c r="G18" s="8">
        <v>0.9</v>
      </c>
      <c r="H18" s="8">
        <v>0.8</v>
      </c>
      <c r="I18" s="8">
        <v>0.8</v>
      </c>
      <c r="J18" s="9">
        <v>0.6</v>
      </c>
      <c r="K18" s="13">
        <v>0.1</v>
      </c>
      <c r="L18" s="8">
        <v>0.5</v>
      </c>
      <c r="M18" s="8">
        <v>0.7</v>
      </c>
      <c r="N18" s="8">
        <v>1</v>
      </c>
      <c r="O18" s="8">
        <v>1</v>
      </c>
      <c r="P18" s="8">
        <v>0.8</v>
      </c>
      <c r="Q18" s="8">
        <v>0.8</v>
      </c>
      <c r="R18" s="9">
        <v>0.6</v>
      </c>
      <c r="S18" s="13">
        <v>0.1</v>
      </c>
      <c r="T18" s="8">
        <v>0.5</v>
      </c>
      <c r="U18" s="8">
        <v>0.7</v>
      </c>
      <c r="V18" s="8">
        <v>1</v>
      </c>
      <c r="W18" s="8">
        <v>1</v>
      </c>
      <c r="X18" s="8">
        <v>0.8</v>
      </c>
      <c r="Y18" s="8">
        <v>0.8</v>
      </c>
      <c r="Z18" s="9">
        <v>0.6</v>
      </c>
    </row>
    <row r="19" spans="1:26" x14ac:dyDescent="0.25">
      <c r="A19" s="7" t="s">
        <v>16</v>
      </c>
      <c r="B19" s="8"/>
      <c r="C19" s="8">
        <v>0.2</v>
      </c>
      <c r="D19" s="8">
        <v>0.6</v>
      </c>
      <c r="E19" s="8">
        <v>0.8</v>
      </c>
      <c r="F19" s="8">
        <v>1</v>
      </c>
      <c r="G19" s="8">
        <v>0.9</v>
      </c>
      <c r="H19" s="8">
        <v>0.8</v>
      </c>
      <c r="I19" s="8">
        <v>0.8</v>
      </c>
      <c r="J19" s="9">
        <v>0.6</v>
      </c>
      <c r="K19" s="13">
        <v>0.1</v>
      </c>
      <c r="L19" s="8">
        <v>0.5</v>
      </c>
      <c r="M19" s="8">
        <v>0.6</v>
      </c>
      <c r="N19" s="8">
        <v>0.9</v>
      </c>
      <c r="O19" s="8">
        <v>1</v>
      </c>
      <c r="P19" s="8">
        <v>0.8</v>
      </c>
      <c r="Q19" s="8">
        <v>0.8</v>
      </c>
      <c r="R19" s="9">
        <v>0.6</v>
      </c>
      <c r="S19" s="13">
        <v>0.1</v>
      </c>
      <c r="T19" s="8">
        <v>0.5</v>
      </c>
      <c r="U19" s="8">
        <v>0.6</v>
      </c>
      <c r="V19" s="8">
        <v>0.9</v>
      </c>
      <c r="W19" s="8">
        <v>1</v>
      </c>
      <c r="X19" s="8">
        <v>0.8</v>
      </c>
      <c r="Y19" s="8">
        <v>0.8</v>
      </c>
      <c r="Z19" s="9">
        <v>0.6</v>
      </c>
    </row>
    <row r="20" spans="1:26" x14ac:dyDescent="0.25">
      <c r="A20" s="7" t="s">
        <v>17</v>
      </c>
      <c r="B20" s="8"/>
      <c r="C20" s="8">
        <v>0.2</v>
      </c>
      <c r="D20" s="8">
        <v>0.6</v>
      </c>
      <c r="E20" s="8">
        <v>0.8</v>
      </c>
      <c r="F20" s="8">
        <v>1</v>
      </c>
      <c r="G20" s="8">
        <v>0.9</v>
      </c>
      <c r="H20" s="8">
        <v>0.8</v>
      </c>
      <c r="I20" s="8">
        <v>0.8</v>
      </c>
      <c r="J20" s="9">
        <v>0.6</v>
      </c>
      <c r="K20" s="13">
        <v>0.1</v>
      </c>
      <c r="L20" s="8">
        <v>0.5</v>
      </c>
      <c r="M20" s="8">
        <v>0.7</v>
      </c>
      <c r="N20" s="8">
        <v>0.9</v>
      </c>
      <c r="O20" s="8">
        <v>1</v>
      </c>
      <c r="P20" s="8">
        <v>0.8</v>
      </c>
      <c r="Q20" s="8">
        <v>0.8</v>
      </c>
      <c r="R20" s="9">
        <v>0.6</v>
      </c>
      <c r="S20" s="13">
        <v>0.1</v>
      </c>
      <c r="T20" s="8">
        <v>0.5</v>
      </c>
      <c r="U20" s="8">
        <v>0.7</v>
      </c>
      <c r="V20" s="8">
        <v>0.9</v>
      </c>
      <c r="W20" s="8">
        <v>1</v>
      </c>
      <c r="X20" s="8">
        <v>0.8</v>
      </c>
      <c r="Y20" s="8">
        <v>0.8</v>
      </c>
      <c r="Z20" s="9">
        <v>0.6</v>
      </c>
    </row>
    <row r="21" spans="1:26" x14ac:dyDescent="0.25">
      <c r="A21" s="7" t="s">
        <v>18</v>
      </c>
      <c r="B21" s="8"/>
      <c r="C21" s="8">
        <v>0.2</v>
      </c>
      <c r="D21" s="8">
        <v>0.5</v>
      </c>
      <c r="E21" s="8">
        <v>0.8</v>
      </c>
      <c r="F21" s="8">
        <v>1</v>
      </c>
      <c r="G21" s="8">
        <v>0.9</v>
      </c>
      <c r="H21" s="8">
        <v>0.8</v>
      </c>
      <c r="I21" s="8">
        <v>0.8</v>
      </c>
      <c r="J21" s="9">
        <v>0.6</v>
      </c>
      <c r="K21" s="13">
        <v>0.1</v>
      </c>
      <c r="L21" s="8">
        <v>0.3</v>
      </c>
      <c r="M21" s="8">
        <v>0.7</v>
      </c>
      <c r="N21" s="8">
        <v>0.9</v>
      </c>
      <c r="O21" s="8">
        <v>1</v>
      </c>
      <c r="P21" s="8">
        <v>0.8</v>
      </c>
      <c r="Q21" s="8">
        <v>0.8</v>
      </c>
      <c r="R21" s="9">
        <v>0.6</v>
      </c>
      <c r="S21" s="13">
        <v>0.1</v>
      </c>
      <c r="T21" s="8">
        <v>0.3</v>
      </c>
      <c r="U21" s="8">
        <v>0.7</v>
      </c>
      <c r="V21" s="8">
        <v>0.9</v>
      </c>
      <c r="W21" s="8">
        <v>1</v>
      </c>
      <c r="X21" s="8">
        <v>0.8</v>
      </c>
      <c r="Y21" s="8">
        <v>0.8</v>
      </c>
      <c r="Z21" s="9">
        <v>0.6</v>
      </c>
    </row>
    <row r="22" spans="1:26" x14ac:dyDescent="0.25">
      <c r="A22" s="7" t="s">
        <v>19</v>
      </c>
      <c r="B22" s="8"/>
      <c r="C22" s="8">
        <v>0.2</v>
      </c>
      <c r="D22" s="8">
        <v>0.6</v>
      </c>
      <c r="E22" s="8">
        <v>0.8</v>
      </c>
      <c r="F22" s="8">
        <v>1</v>
      </c>
      <c r="G22" s="8">
        <v>0.9</v>
      </c>
      <c r="H22" s="8">
        <v>0.8</v>
      </c>
      <c r="I22" s="8">
        <v>0.8</v>
      </c>
      <c r="J22" s="9">
        <v>0.6</v>
      </c>
      <c r="K22" s="13">
        <v>0.1</v>
      </c>
      <c r="L22" s="8">
        <v>0.4</v>
      </c>
      <c r="M22" s="8">
        <v>0.7</v>
      </c>
      <c r="N22" s="8">
        <v>0.9</v>
      </c>
      <c r="O22" s="8">
        <v>1</v>
      </c>
      <c r="P22" s="8">
        <v>0.8</v>
      </c>
      <c r="Q22" s="8">
        <v>0.8</v>
      </c>
      <c r="R22" s="9">
        <v>0.6</v>
      </c>
      <c r="S22" s="13">
        <v>0.1</v>
      </c>
      <c r="T22" s="8">
        <v>0.4</v>
      </c>
      <c r="U22" s="8">
        <v>0.7</v>
      </c>
      <c r="V22" s="8">
        <v>0.9</v>
      </c>
      <c r="W22" s="8">
        <v>1</v>
      </c>
      <c r="X22" s="8">
        <v>0.8</v>
      </c>
      <c r="Y22" s="8">
        <v>0.8</v>
      </c>
      <c r="Z22" s="9">
        <v>0.6</v>
      </c>
    </row>
    <row r="23" spans="1:26" x14ac:dyDescent="0.25">
      <c r="A23" s="7" t="s">
        <v>20</v>
      </c>
      <c r="B23" s="8"/>
      <c r="C23" s="8">
        <v>0.2</v>
      </c>
      <c r="D23" s="8">
        <v>0.5</v>
      </c>
      <c r="E23" s="8">
        <v>0.8</v>
      </c>
      <c r="F23" s="8">
        <v>1</v>
      </c>
      <c r="G23" s="8">
        <v>0.9</v>
      </c>
      <c r="H23" s="8">
        <v>0.8</v>
      </c>
      <c r="I23" s="8">
        <v>0.8</v>
      </c>
      <c r="J23" s="9">
        <v>0.5</v>
      </c>
      <c r="K23" s="13">
        <v>0.1</v>
      </c>
      <c r="L23" s="8">
        <v>0.3</v>
      </c>
      <c r="M23" s="8">
        <v>0.7</v>
      </c>
      <c r="N23" s="8">
        <v>0.9</v>
      </c>
      <c r="O23" s="8">
        <v>1</v>
      </c>
      <c r="P23" s="8">
        <v>0.8</v>
      </c>
      <c r="Q23" s="8">
        <v>0.8</v>
      </c>
      <c r="R23" s="9">
        <v>0.5</v>
      </c>
      <c r="S23" s="13">
        <v>0.1</v>
      </c>
      <c r="T23" s="8">
        <v>0.3</v>
      </c>
      <c r="U23" s="8">
        <v>0.7</v>
      </c>
      <c r="V23" s="8">
        <v>0.9</v>
      </c>
      <c r="W23" s="8">
        <v>1</v>
      </c>
      <c r="X23" s="8">
        <v>0.8</v>
      </c>
      <c r="Y23" s="8">
        <v>0.8</v>
      </c>
      <c r="Z23" s="9">
        <v>0.5</v>
      </c>
    </row>
    <row r="24" spans="1:26" x14ac:dyDescent="0.25">
      <c r="A24" s="7" t="s">
        <v>21</v>
      </c>
      <c r="B24" s="8"/>
      <c r="C24" s="8">
        <v>0.1</v>
      </c>
      <c r="D24" s="8">
        <v>0.3</v>
      </c>
      <c r="E24" s="8">
        <v>0.6</v>
      </c>
      <c r="F24" s="8">
        <v>1</v>
      </c>
      <c r="G24" s="8">
        <v>1</v>
      </c>
      <c r="H24" s="8">
        <v>0.8</v>
      </c>
      <c r="I24" s="8">
        <v>0.8</v>
      </c>
      <c r="J24" s="9">
        <v>0.5</v>
      </c>
      <c r="K24" s="13">
        <v>0.1</v>
      </c>
      <c r="L24" s="8">
        <v>0.3</v>
      </c>
      <c r="M24" s="8">
        <v>0.5</v>
      </c>
      <c r="N24" s="8">
        <v>0.9</v>
      </c>
      <c r="O24" s="8">
        <v>1</v>
      </c>
      <c r="P24" s="8">
        <v>0.8</v>
      </c>
      <c r="Q24" s="8">
        <v>0.8</v>
      </c>
      <c r="R24" s="9">
        <v>0.5</v>
      </c>
      <c r="S24" s="13">
        <v>0.1</v>
      </c>
      <c r="T24" s="8">
        <v>0.3</v>
      </c>
      <c r="U24" s="8">
        <v>0.5</v>
      </c>
      <c r="V24" s="8">
        <v>0.9</v>
      </c>
      <c r="W24" s="8">
        <v>1</v>
      </c>
      <c r="X24" s="8">
        <v>0.8</v>
      </c>
      <c r="Y24" s="8">
        <v>0.8</v>
      </c>
      <c r="Z24" s="9">
        <v>0.5</v>
      </c>
    </row>
    <row r="25" spans="1:26" x14ac:dyDescent="0.25">
      <c r="A25" s="7" t="s">
        <v>22</v>
      </c>
      <c r="B25" s="8"/>
      <c r="C25" s="8">
        <v>0.2</v>
      </c>
      <c r="D25" s="8">
        <v>0.6</v>
      </c>
      <c r="E25" s="8">
        <v>0.9</v>
      </c>
      <c r="F25" s="8">
        <v>1</v>
      </c>
      <c r="G25" s="8">
        <v>0.9</v>
      </c>
      <c r="H25" s="8">
        <v>0.8</v>
      </c>
      <c r="I25" s="8">
        <v>0.8</v>
      </c>
      <c r="J25" s="9">
        <v>0.6</v>
      </c>
      <c r="K25" s="13">
        <v>0.2</v>
      </c>
      <c r="L25" s="8">
        <v>0.5</v>
      </c>
      <c r="M25" s="8">
        <v>0.7</v>
      </c>
      <c r="N25" s="8">
        <v>1</v>
      </c>
      <c r="O25" s="8">
        <v>0.9</v>
      </c>
      <c r="P25" s="8">
        <v>0.8</v>
      </c>
      <c r="Q25" s="8">
        <v>0.8</v>
      </c>
      <c r="R25" s="9">
        <v>0.6</v>
      </c>
      <c r="S25" s="13">
        <v>0.2</v>
      </c>
      <c r="T25" s="8">
        <v>0.5</v>
      </c>
      <c r="U25" s="8">
        <v>0.7</v>
      </c>
      <c r="V25" s="8">
        <v>1</v>
      </c>
      <c r="W25" s="8">
        <v>0.9</v>
      </c>
      <c r="X25" s="8">
        <v>0.8</v>
      </c>
      <c r="Y25" s="8">
        <v>0.8</v>
      </c>
      <c r="Z25" s="9">
        <v>0.6</v>
      </c>
    </row>
    <row r="26" spans="1:26" x14ac:dyDescent="0.25">
      <c r="A26" s="10" t="s">
        <v>23</v>
      </c>
      <c r="B26" s="11"/>
      <c r="C26" s="11">
        <v>0.2</v>
      </c>
      <c r="D26" s="11">
        <v>0.7</v>
      </c>
      <c r="E26" s="11">
        <v>0.8</v>
      </c>
      <c r="F26" s="11">
        <v>1</v>
      </c>
      <c r="G26" s="11">
        <v>0.9</v>
      </c>
      <c r="H26" s="11">
        <v>0.8</v>
      </c>
      <c r="I26" s="11">
        <v>0.8</v>
      </c>
      <c r="J26" s="12">
        <v>0.6</v>
      </c>
      <c r="K26" s="14">
        <v>0.1</v>
      </c>
      <c r="L26" s="11">
        <v>0.6</v>
      </c>
      <c r="M26" s="11">
        <v>0.7</v>
      </c>
      <c r="N26" s="11">
        <v>1</v>
      </c>
      <c r="O26" s="11">
        <v>0.9</v>
      </c>
      <c r="P26" s="11">
        <v>0.8</v>
      </c>
      <c r="Q26" s="11">
        <v>0.8</v>
      </c>
      <c r="R26" s="12">
        <v>0.6</v>
      </c>
      <c r="S26" s="14">
        <v>0.1</v>
      </c>
      <c r="T26" s="11">
        <v>0.6</v>
      </c>
      <c r="U26" s="11">
        <v>0.7</v>
      </c>
      <c r="V26" s="11">
        <v>1</v>
      </c>
      <c r="W26" s="11">
        <v>0.9</v>
      </c>
      <c r="X26" s="11">
        <v>0.8</v>
      </c>
      <c r="Y26" s="11">
        <v>0.8</v>
      </c>
      <c r="Z26" s="12">
        <v>0.6</v>
      </c>
    </row>
  </sheetData>
  <mergeCells count="4">
    <mergeCell ref="A1:A2"/>
    <mergeCell ref="C1:J1"/>
    <mergeCell ref="S1:Z1"/>
    <mergeCell ref="K1:R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zoomScale="60" zoomScaleNormal="60" workbookViewId="0">
      <selection activeCell="O52" sqref="O52"/>
    </sheetView>
  </sheetViews>
  <sheetFormatPr defaultRowHeight="15" x14ac:dyDescent="0.25"/>
  <cols>
    <col min="1" max="1" width="19.28515625" bestFit="1" customWidth="1"/>
    <col min="2" max="2" width="24.85546875" bestFit="1" customWidth="1"/>
    <col min="3" max="4" width="29.28515625" bestFit="1" customWidth="1"/>
    <col min="5" max="5" width="23" bestFit="1" customWidth="1"/>
    <col min="6" max="6" width="28.85546875" bestFit="1" customWidth="1"/>
    <col min="7" max="7" width="24.42578125" bestFit="1" customWidth="1"/>
    <col min="8" max="8" width="28.85546875" bestFit="1" customWidth="1"/>
    <col min="9" max="9" width="24.42578125" bestFit="1" customWidth="1"/>
    <col min="10" max="10" width="32.140625" bestFit="1" customWidth="1"/>
    <col min="11" max="11" width="34" bestFit="1" customWidth="1"/>
    <col min="12" max="12" width="17.28515625" bestFit="1" customWidth="1"/>
    <col min="13" max="13" width="24.85546875" bestFit="1" customWidth="1"/>
    <col min="14" max="15" width="29.28515625" bestFit="1" customWidth="1"/>
    <col min="16" max="16" width="23" bestFit="1" customWidth="1"/>
    <col min="17" max="17" width="28.85546875" bestFit="1" customWidth="1"/>
    <col min="18" max="18" width="24.42578125" bestFit="1" customWidth="1"/>
    <col min="19" max="19" width="28.85546875" bestFit="1" customWidth="1"/>
    <col min="20" max="20" width="24.42578125" bestFit="1" customWidth="1"/>
    <col min="21" max="21" width="32.140625" bestFit="1" customWidth="1"/>
    <col min="22" max="22" width="34" bestFit="1" customWidth="1"/>
    <col min="23" max="23" width="17.28515625" bestFit="1" customWidth="1"/>
  </cols>
  <sheetData>
    <row r="1" spans="1:24" x14ac:dyDescent="0.25">
      <c r="A1" s="49" t="s">
        <v>24</v>
      </c>
      <c r="B1" s="50" t="s">
        <v>68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spans="1:24" x14ac:dyDescent="0.25">
      <c r="A2" s="49"/>
      <c r="B2" s="50" t="s">
        <v>78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 t="s">
        <v>93</v>
      </c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24" ht="18" x14ac:dyDescent="0.35">
      <c r="A3" s="49"/>
      <c r="B3" s="1" t="s">
        <v>71</v>
      </c>
      <c r="C3" s="1" t="s">
        <v>70</v>
      </c>
      <c r="D3" s="1" t="s">
        <v>69</v>
      </c>
      <c r="E3" s="1" t="s">
        <v>72</v>
      </c>
      <c r="F3" s="1" t="s">
        <v>82</v>
      </c>
      <c r="G3" s="1" t="s">
        <v>81</v>
      </c>
      <c r="H3" s="1" t="s">
        <v>80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71</v>
      </c>
      <c r="N3" s="1" t="s">
        <v>70</v>
      </c>
      <c r="O3" s="1" t="s">
        <v>69</v>
      </c>
      <c r="P3" s="1" t="s">
        <v>72</v>
      </c>
      <c r="Q3" s="1" t="s">
        <v>82</v>
      </c>
      <c r="R3" s="1" t="s">
        <v>73</v>
      </c>
      <c r="S3" s="1" t="s">
        <v>79</v>
      </c>
      <c r="T3" s="1" t="s">
        <v>74</v>
      </c>
      <c r="U3" s="1" t="s">
        <v>75</v>
      </c>
      <c r="V3" s="1" t="s">
        <v>76</v>
      </c>
      <c r="W3" s="1" t="s">
        <v>77</v>
      </c>
    </row>
    <row r="4" spans="1:24" x14ac:dyDescent="0.25">
      <c r="A4" s="1" t="s">
        <v>0</v>
      </c>
      <c r="B4">
        <v>0.3</v>
      </c>
      <c r="C4">
        <v>0.6</v>
      </c>
      <c r="D4">
        <v>0.9</v>
      </c>
      <c r="E4">
        <v>1</v>
      </c>
      <c r="F4">
        <v>1</v>
      </c>
      <c r="G4">
        <v>0.9</v>
      </c>
      <c r="H4">
        <v>0.8</v>
      </c>
      <c r="I4">
        <v>0.8</v>
      </c>
      <c r="J4">
        <v>0.3</v>
      </c>
      <c r="K4">
        <v>0.1</v>
      </c>
      <c r="L4">
        <v>0.9</v>
      </c>
      <c r="M4">
        <v>0.3</v>
      </c>
      <c r="N4">
        <v>0.6</v>
      </c>
      <c r="O4">
        <v>0.9</v>
      </c>
      <c r="P4">
        <v>1</v>
      </c>
      <c r="Q4">
        <v>1</v>
      </c>
      <c r="R4">
        <v>1</v>
      </c>
      <c r="S4">
        <v>1</v>
      </c>
      <c r="T4">
        <v>0.8</v>
      </c>
      <c r="U4">
        <v>0.3</v>
      </c>
      <c r="V4">
        <v>0.1</v>
      </c>
      <c r="W4">
        <v>0.9</v>
      </c>
    </row>
    <row r="5" spans="1:24" x14ac:dyDescent="0.25">
      <c r="A5" s="1" t="s">
        <v>1</v>
      </c>
      <c r="B5">
        <v>0.2</v>
      </c>
      <c r="C5">
        <v>0.5</v>
      </c>
      <c r="D5">
        <v>0.9</v>
      </c>
      <c r="E5">
        <v>1</v>
      </c>
      <c r="F5">
        <v>1</v>
      </c>
      <c r="G5">
        <v>0.9</v>
      </c>
      <c r="H5">
        <v>0.8</v>
      </c>
      <c r="I5">
        <v>0.8</v>
      </c>
      <c r="J5">
        <v>0.2</v>
      </c>
      <c r="K5">
        <v>0.1</v>
      </c>
      <c r="L5">
        <v>0.9</v>
      </c>
      <c r="M5">
        <v>0.2</v>
      </c>
      <c r="N5">
        <v>0.5</v>
      </c>
      <c r="O5">
        <v>0.9</v>
      </c>
      <c r="P5">
        <v>1</v>
      </c>
      <c r="Q5">
        <v>1</v>
      </c>
      <c r="R5">
        <v>1</v>
      </c>
      <c r="S5">
        <v>1</v>
      </c>
      <c r="T5">
        <v>0.8</v>
      </c>
      <c r="U5">
        <v>0.2</v>
      </c>
      <c r="V5">
        <v>0.1</v>
      </c>
      <c r="W5">
        <v>0.9</v>
      </c>
    </row>
    <row r="6" spans="1:24" x14ac:dyDescent="0.25">
      <c r="A6" s="1" t="s">
        <v>2</v>
      </c>
      <c r="B6">
        <v>0.7</v>
      </c>
      <c r="C6">
        <v>0.8</v>
      </c>
      <c r="D6">
        <v>0.9</v>
      </c>
      <c r="E6">
        <v>1</v>
      </c>
      <c r="F6">
        <v>1</v>
      </c>
      <c r="G6">
        <v>0.9</v>
      </c>
      <c r="H6">
        <v>0.8</v>
      </c>
      <c r="I6">
        <v>0.3</v>
      </c>
      <c r="J6">
        <v>0.2</v>
      </c>
      <c r="K6">
        <v>0.1</v>
      </c>
      <c r="L6">
        <v>0.8</v>
      </c>
      <c r="M6">
        <v>0.7</v>
      </c>
      <c r="N6">
        <v>0.8</v>
      </c>
      <c r="O6">
        <v>0.9</v>
      </c>
      <c r="P6">
        <v>1</v>
      </c>
      <c r="Q6">
        <v>1</v>
      </c>
      <c r="R6">
        <v>1</v>
      </c>
      <c r="S6">
        <v>1</v>
      </c>
      <c r="T6">
        <v>0.3</v>
      </c>
      <c r="U6">
        <v>0.2</v>
      </c>
      <c r="V6">
        <v>0.1</v>
      </c>
      <c r="W6">
        <v>0.8</v>
      </c>
    </row>
    <row r="7" spans="1:24" x14ac:dyDescent="0.25">
      <c r="A7" s="1" t="s">
        <v>3</v>
      </c>
      <c r="B7">
        <v>0.6</v>
      </c>
      <c r="C7">
        <v>0.9</v>
      </c>
      <c r="D7">
        <v>1</v>
      </c>
      <c r="E7">
        <v>1</v>
      </c>
      <c r="F7">
        <v>1</v>
      </c>
      <c r="G7">
        <v>0.8</v>
      </c>
      <c r="H7">
        <v>0.7</v>
      </c>
      <c r="I7">
        <v>0.3</v>
      </c>
      <c r="J7">
        <v>0.2</v>
      </c>
      <c r="K7">
        <v>0.1</v>
      </c>
      <c r="L7">
        <v>0.6</v>
      </c>
      <c r="M7">
        <v>0.6</v>
      </c>
      <c r="N7">
        <v>0.9</v>
      </c>
      <c r="O7">
        <v>1</v>
      </c>
      <c r="P7">
        <v>1</v>
      </c>
      <c r="Q7">
        <v>1</v>
      </c>
      <c r="R7">
        <v>1</v>
      </c>
      <c r="S7">
        <v>0.9</v>
      </c>
      <c r="T7">
        <v>0.3</v>
      </c>
      <c r="U7">
        <v>0.2</v>
      </c>
      <c r="V7">
        <v>0.1</v>
      </c>
      <c r="W7">
        <v>0.6</v>
      </c>
    </row>
    <row r="8" spans="1:24" x14ac:dyDescent="0.25">
      <c r="A8" s="1" t="s">
        <v>4</v>
      </c>
      <c r="B8">
        <v>0.6</v>
      </c>
      <c r="C8">
        <v>0.7</v>
      </c>
      <c r="D8">
        <v>0.8</v>
      </c>
      <c r="E8">
        <v>1</v>
      </c>
      <c r="F8">
        <v>1</v>
      </c>
      <c r="G8">
        <v>0.9</v>
      </c>
      <c r="H8">
        <v>0.8</v>
      </c>
      <c r="I8">
        <v>0.3</v>
      </c>
      <c r="J8">
        <v>0.3</v>
      </c>
      <c r="K8">
        <v>0.1</v>
      </c>
      <c r="L8">
        <v>0.8</v>
      </c>
      <c r="M8">
        <v>0.6</v>
      </c>
      <c r="N8">
        <v>0.7</v>
      </c>
      <c r="O8">
        <v>0.8</v>
      </c>
      <c r="P8">
        <v>1</v>
      </c>
      <c r="Q8">
        <v>1</v>
      </c>
      <c r="R8">
        <v>1</v>
      </c>
      <c r="S8">
        <v>1</v>
      </c>
      <c r="T8">
        <v>0.3</v>
      </c>
      <c r="U8">
        <v>0.3</v>
      </c>
      <c r="V8">
        <v>0.1</v>
      </c>
      <c r="W8">
        <v>0.8</v>
      </c>
    </row>
    <row r="9" spans="1:24" x14ac:dyDescent="0.25">
      <c r="A9" s="1" t="s">
        <v>5</v>
      </c>
      <c r="B9">
        <v>0.7</v>
      </c>
      <c r="C9">
        <v>0.8</v>
      </c>
      <c r="D9">
        <v>0.9</v>
      </c>
      <c r="E9">
        <v>1</v>
      </c>
      <c r="F9">
        <v>0.9</v>
      </c>
      <c r="G9">
        <v>0.8</v>
      </c>
      <c r="H9">
        <v>0.7</v>
      </c>
      <c r="I9">
        <v>0.3</v>
      </c>
      <c r="J9">
        <v>0.2</v>
      </c>
      <c r="K9">
        <v>0.1</v>
      </c>
      <c r="L9">
        <v>0.7</v>
      </c>
      <c r="M9">
        <v>0.7</v>
      </c>
      <c r="N9">
        <v>0.8</v>
      </c>
      <c r="O9">
        <v>0.9</v>
      </c>
      <c r="P9">
        <v>1</v>
      </c>
      <c r="Q9">
        <v>1</v>
      </c>
      <c r="R9">
        <v>1</v>
      </c>
      <c r="S9">
        <v>0.9</v>
      </c>
      <c r="T9">
        <v>0.3</v>
      </c>
      <c r="U9">
        <v>0.2</v>
      </c>
      <c r="V9">
        <v>0.1</v>
      </c>
      <c r="W9">
        <v>0.7</v>
      </c>
    </row>
    <row r="10" spans="1:24" x14ac:dyDescent="0.25">
      <c r="A10" s="1" t="s">
        <v>6</v>
      </c>
      <c r="B10">
        <v>0.6</v>
      </c>
      <c r="C10">
        <v>1</v>
      </c>
      <c r="D10">
        <v>1</v>
      </c>
      <c r="E10">
        <v>1</v>
      </c>
      <c r="F10">
        <v>0.9</v>
      </c>
      <c r="G10">
        <v>0.8</v>
      </c>
      <c r="H10">
        <v>0.7</v>
      </c>
      <c r="I10">
        <v>0.3</v>
      </c>
      <c r="J10">
        <v>0.2</v>
      </c>
      <c r="K10">
        <v>0.1</v>
      </c>
      <c r="L10">
        <v>0.5</v>
      </c>
      <c r="M10">
        <v>0.6</v>
      </c>
      <c r="N10">
        <v>1</v>
      </c>
      <c r="O10">
        <v>1</v>
      </c>
      <c r="P10">
        <v>1</v>
      </c>
      <c r="Q10">
        <v>1</v>
      </c>
      <c r="R10">
        <v>1</v>
      </c>
      <c r="S10">
        <v>0.9</v>
      </c>
      <c r="T10">
        <v>0.3</v>
      </c>
      <c r="U10">
        <v>0.2</v>
      </c>
      <c r="V10">
        <v>0.1</v>
      </c>
      <c r="W10">
        <v>0.5</v>
      </c>
    </row>
    <row r="11" spans="1:24" x14ac:dyDescent="0.25">
      <c r="A11" s="1" t="s">
        <v>7</v>
      </c>
      <c r="B11">
        <v>0.8</v>
      </c>
      <c r="C11">
        <v>1</v>
      </c>
      <c r="D11">
        <v>1</v>
      </c>
      <c r="E11">
        <v>1</v>
      </c>
      <c r="F11">
        <v>0.9</v>
      </c>
      <c r="G11">
        <v>0.8</v>
      </c>
      <c r="H11">
        <v>0.7</v>
      </c>
      <c r="I11">
        <v>0.3</v>
      </c>
      <c r="J11">
        <v>0.1</v>
      </c>
      <c r="K11">
        <v>0.1</v>
      </c>
      <c r="L11">
        <v>0.5</v>
      </c>
      <c r="M11">
        <v>0.8</v>
      </c>
      <c r="N11">
        <v>1</v>
      </c>
      <c r="O11">
        <v>1</v>
      </c>
      <c r="P11">
        <v>1</v>
      </c>
      <c r="Q11">
        <v>1</v>
      </c>
      <c r="R11">
        <v>1</v>
      </c>
      <c r="S11">
        <v>0.9</v>
      </c>
      <c r="T11">
        <v>0.3</v>
      </c>
      <c r="U11">
        <v>0.1</v>
      </c>
      <c r="V11">
        <v>0.1</v>
      </c>
      <c r="W11">
        <v>0.5</v>
      </c>
    </row>
    <row r="12" spans="1:24" x14ac:dyDescent="0.25">
      <c r="A12" s="1" t="s">
        <v>8</v>
      </c>
      <c r="B12">
        <v>0.6</v>
      </c>
      <c r="C12">
        <v>0.7</v>
      </c>
      <c r="D12">
        <v>1</v>
      </c>
      <c r="E12">
        <v>1</v>
      </c>
      <c r="F12">
        <v>1</v>
      </c>
      <c r="G12">
        <v>0.9</v>
      </c>
      <c r="H12">
        <v>0.8</v>
      </c>
      <c r="I12">
        <v>0.3</v>
      </c>
      <c r="J12">
        <v>0.2</v>
      </c>
      <c r="K12">
        <v>0.1</v>
      </c>
      <c r="L12">
        <v>0.5</v>
      </c>
      <c r="M12">
        <v>0.6</v>
      </c>
      <c r="N12">
        <v>0.7</v>
      </c>
      <c r="O12">
        <v>1</v>
      </c>
      <c r="P12">
        <v>1</v>
      </c>
      <c r="Q12">
        <v>1</v>
      </c>
      <c r="R12">
        <v>1</v>
      </c>
      <c r="S12">
        <v>0.9</v>
      </c>
      <c r="T12">
        <v>0.3</v>
      </c>
      <c r="U12">
        <v>0.2</v>
      </c>
      <c r="V12">
        <v>0.1</v>
      </c>
      <c r="W12">
        <v>0.5</v>
      </c>
    </row>
    <row r="13" spans="1:24" x14ac:dyDescent="0.25">
      <c r="A13" s="1" t="s">
        <v>9</v>
      </c>
      <c r="B13">
        <v>0.5</v>
      </c>
      <c r="C13">
        <v>0.6</v>
      </c>
      <c r="D13">
        <v>1</v>
      </c>
      <c r="E13">
        <v>1</v>
      </c>
      <c r="F13">
        <v>1</v>
      </c>
      <c r="G13">
        <v>0.8</v>
      </c>
      <c r="H13">
        <v>0.7</v>
      </c>
      <c r="I13">
        <v>0.3</v>
      </c>
      <c r="J13">
        <v>0.2</v>
      </c>
      <c r="K13">
        <v>0.1</v>
      </c>
      <c r="L13">
        <v>0.5</v>
      </c>
      <c r="M13">
        <v>0.5</v>
      </c>
      <c r="N13">
        <v>0.6</v>
      </c>
      <c r="O13">
        <v>1</v>
      </c>
      <c r="P13">
        <v>1</v>
      </c>
      <c r="Q13">
        <v>1</v>
      </c>
      <c r="R13">
        <v>1</v>
      </c>
      <c r="S13">
        <v>0.9</v>
      </c>
      <c r="T13">
        <v>0.3</v>
      </c>
      <c r="U13">
        <v>0.2</v>
      </c>
      <c r="V13">
        <v>0.1</v>
      </c>
      <c r="W13">
        <v>0.5</v>
      </c>
    </row>
    <row r="14" spans="1:24" x14ac:dyDescent="0.25">
      <c r="A14" s="1" t="s">
        <v>10</v>
      </c>
      <c r="B14">
        <v>0.2</v>
      </c>
      <c r="C14">
        <v>0.5</v>
      </c>
      <c r="D14">
        <v>0.9</v>
      </c>
      <c r="E14">
        <v>1</v>
      </c>
      <c r="F14">
        <v>1</v>
      </c>
      <c r="G14">
        <v>0.9</v>
      </c>
      <c r="H14">
        <v>0.8</v>
      </c>
      <c r="I14">
        <v>0.6</v>
      </c>
      <c r="J14">
        <v>0.1</v>
      </c>
      <c r="K14">
        <v>0.1</v>
      </c>
      <c r="L14">
        <v>0.8</v>
      </c>
      <c r="M14">
        <v>0.2</v>
      </c>
      <c r="N14">
        <v>0.5</v>
      </c>
      <c r="O14">
        <v>0.9</v>
      </c>
      <c r="P14">
        <v>1</v>
      </c>
      <c r="Q14">
        <v>1</v>
      </c>
      <c r="R14">
        <v>1</v>
      </c>
      <c r="S14">
        <v>1</v>
      </c>
      <c r="T14">
        <v>0.6</v>
      </c>
      <c r="U14">
        <v>0.1</v>
      </c>
      <c r="V14">
        <v>0.1</v>
      </c>
      <c r="W14">
        <v>0.8</v>
      </c>
    </row>
    <row r="15" spans="1:24" x14ac:dyDescent="0.25">
      <c r="A15" s="1" t="s">
        <v>11</v>
      </c>
      <c r="B15">
        <v>0.3</v>
      </c>
      <c r="C15">
        <v>0.6</v>
      </c>
      <c r="D15">
        <v>0.9</v>
      </c>
      <c r="E15">
        <v>1</v>
      </c>
      <c r="F15">
        <v>1</v>
      </c>
      <c r="G15">
        <v>0.8</v>
      </c>
      <c r="H15">
        <v>0.7</v>
      </c>
      <c r="I15">
        <v>0.6</v>
      </c>
      <c r="J15">
        <v>0.1</v>
      </c>
      <c r="K15">
        <v>0.1</v>
      </c>
      <c r="L15">
        <v>0.8</v>
      </c>
      <c r="M15">
        <v>0.3</v>
      </c>
      <c r="N15">
        <v>0.6</v>
      </c>
      <c r="O15">
        <v>0.9</v>
      </c>
      <c r="P15">
        <v>1</v>
      </c>
      <c r="Q15">
        <v>1</v>
      </c>
      <c r="R15">
        <v>1</v>
      </c>
      <c r="S15">
        <v>0.9</v>
      </c>
      <c r="T15">
        <v>0.6</v>
      </c>
      <c r="U15">
        <v>0.1</v>
      </c>
      <c r="V15">
        <v>0.1</v>
      </c>
      <c r="W15">
        <v>0.8</v>
      </c>
    </row>
    <row r="16" spans="1:24" x14ac:dyDescent="0.25">
      <c r="A16" s="1" t="s">
        <v>12</v>
      </c>
      <c r="B16">
        <v>0.3</v>
      </c>
      <c r="C16">
        <v>0.7</v>
      </c>
      <c r="D16">
        <v>1</v>
      </c>
      <c r="E16">
        <v>1</v>
      </c>
      <c r="F16">
        <v>1</v>
      </c>
      <c r="G16">
        <v>0.8</v>
      </c>
      <c r="H16">
        <v>0.7</v>
      </c>
      <c r="I16">
        <v>0.7</v>
      </c>
      <c r="J16">
        <v>0.1</v>
      </c>
      <c r="K16">
        <v>0.1</v>
      </c>
      <c r="L16">
        <v>0.8</v>
      </c>
      <c r="M16">
        <v>0.3</v>
      </c>
      <c r="N16">
        <v>0.7</v>
      </c>
      <c r="O16">
        <v>1</v>
      </c>
      <c r="P16">
        <v>1</v>
      </c>
      <c r="Q16">
        <v>1</v>
      </c>
      <c r="R16">
        <v>1</v>
      </c>
      <c r="S16">
        <v>0.9</v>
      </c>
      <c r="T16">
        <v>0.7</v>
      </c>
      <c r="U16">
        <v>0.1</v>
      </c>
      <c r="V16">
        <v>0.1</v>
      </c>
      <c r="W16">
        <v>0.8</v>
      </c>
    </row>
    <row r="17" spans="1:23" x14ac:dyDescent="0.25">
      <c r="A17" s="1" t="s">
        <v>13</v>
      </c>
      <c r="B17">
        <v>0.3</v>
      </c>
      <c r="C17">
        <v>0.7</v>
      </c>
      <c r="D17">
        <v>1</v>
      </c>
      <c r="E17">
        <v>1</v>
      </c>
      <c r="F17">
        <v>1</v>
      </c>
      <c r="G17">
        <v>0.8</v>
      </c>
      <c r="H17">
        <v>0.7</v>
      </c>
      <c r="I17">
        <v>0.7</v>
      </c>
      <c r="J17">
        <v>0.1</v>
      </c>
      <c r="K17">
        <v>0.1</v>
      </c>
      <c r="L17">
        <v>0.8</v>
      </c>
      <c r="M17">
        <v>0.3</v>
      </c>
      <c r="N17">
        <v>0.7</v>
      </c>
      <c r="O17">
        <v>1</v>
      </c>
      <c r="P17">
        <v>1</v>
      </c>
      <c r="Q17">
        <v>1</v>
      </c>
      <c r="R17">
        <v>1</v>
      </c>
      <c r="S17">
        <v>0.9</v>
      </c>
      <c r="T17">
        <v>0.7</v>
      </c>
      <c r="U17">
        <v>0.1</v>
      </c>
      <c r="V17">
        <v>0.1</v>
      </c>
      <c r="W17">
        <v>0.8</v>
      </c>
    </row>
    <row r="18" spans="1:23" x14ac:dyDescent="0.25">
      <c r="A18" s="1" t="s">
        <v>14</v>
      </c>
      <c r="B18">
        <v>0.5</v>
      </c>
      <c r="C18">
        <v>0.8</v>
      </c>
      <c r="D18">
        <v>1</v>
      </c>
      <c r="E18">
        <v>1</v>
      </c>
      <c r="F18">
        <v>0.9</v>
      </c>
      <c r="G18">
        <v>0.7</v>
      </c>
      <c r="H18">
        <v>0.6</v>
      </c>
      <c r="I18">
        <v>0.8</v>
      </c>
      <c r="J18">
        <v>0.1</v>
      </c>
      <c r="K18">
        <v>0.1</v>
      </c>
      <c r="L18">
        <v>0.7</v>
      </c>
      <c r="M18">
        <v>0.5</v>
      </c>
      <c r="N18">
        <v>0.8</v>
      </c>
      <c r="O18">
        <v>1</v>
      </c>
      <c r="P18">
        <v>1</v>
      </c>
      <c r="Q18">
        <v>1</v>
      </c>
      <c r="R18">
        <v>1</v>
      </c>
      <c r="S18">
        <v>0.9</v>
      </c>
      <c r="T18">
        <v>0.8</v>
      </c>
      <c r="U18">
        <v>0.1</v>
      </c>
      <c r="V18">
        <v>0.1</v>
      </c>
      <c r="W18">
        <v>0.7</v>
      </c>
    </row>
    <row r="19" spans="1:23" x14ac:dyDescent="0.25">
      <c r="A19" s="1" t="s">
        <v>15</v>
      </c>
      <c r="B19">
        <v>0.3</v>
      </c>
      <c r="C19">
        <v>0.7</v>
      </c>
      <c r="D19">
        <v>1</v>
      </c>
      <c r="E19">
        <v>1</v>
      </c>
      <c r="F19">
        <v>0.9</v>
      </c>
      <c r="G19">
        <v>0.8</v>
      </c>
      <c r="H19">
        <v>0.7</v>
      </c>
      <c r="I19">
        <v>0.8</v>
      </c>
      <c r="J19">
        <v>0.1</v>
      </c>
      <c r="K19">
        <v>0.1</v>
      </c>
      <c r="L19">
        <v>0.8</v>
      </c>
      <c r="M19">
        <v>0.3</v>
      </c>
      <c r="N19">
        <v>0.7</v>
      </c>
      <c r="O19">
        <v>1</v>
      </c>
      <c r="P19">
        <v>1</v>
      </c>
      <c r="Q19">
        <v>1</v>
      </c>
      <c r="R19">
        <v>1</v>
      </c>
      <c r="S19">
        <v>0.9</v>
      </c>
      <c r="T19">
        <v>0.8</v>
      </c>
      <c r="U19">
        <v>0.1</v>
      </c>
      <c r="V19">
        <v>0.1</v>
      </c>
      <c r="W19">
        <v>0.8</v>
      </c>
    </row>
    <row r="20" spans="1:23" x14ac:dyDescent="0.25">
      <c r="A20" s="1" t="s">
        <v>16</v>
      </c>
      <c r="B20">
        <v>0.2</v>
      </c>
      <c r="C20">
        <v>0.5</v>
      </c>
      <c r="D20">
        <v>0.9</v>
      </c>
      <c r="E20">
        <v>1</v>
      </c>
      <c r="F20">
        <v>1</v>
      </c>
      <c r="G20">
        <v>0.9</v>
      </c>
      <c r="H20">
        <v>0.8</v>
      </c>
      <c r="I20">
        <v>0.6</v>
      </c>
      <c r="J20">
        <v>0.1</v>
      </c>
      <c r="K20">
        <v>0.1</v>
      </c>
      <c r="L20">
        <v>0.8</v>
      </c>
      <c r="M20">
        <v>0.2</v>
      </c>
      <c r="N20">
        <v>0.5</v>
      </c>
      <c r="O20">
        <v>0.9</v>
      </c>
      <c r="P20">
        <v>1</v>
      </c>
      <c r="Q20">
        <v>1</v>
      </c>
      <c r="R20">
        <v>1</v>
      </c>
      <c r="S20">
        <v>1</v>
      </c>
      <c r="T20">
        <v>0.6</v>
      </c>
      <c r="U20">
        <v>0.1</v>
      </c>
      <c r="V20">
        <v>0.1</v>
      </c>
      <c r="W20">
        <v>0.8</v>
      </c>
    </row>
    <row r="21" spans="1:23" x14ac:dyDescent="0.25">
      <c r="A21" s="1" t="s">
        <v>17</v>
      </c>
      <c r="B21">
        <v>0.3</v>
      </c>
      <c r="C21">
        <v>0.5</v>
      </c>
      <c r="D21">
        <v>0.9</v>
      </c>
      <c r="E21">
        <v>1</v>
      </c>
      <c r="F21">
        <v>1</v>
      </c>
      <c r="G21">
        <v>0.8</v>
      </c>
      <c r="H21">
        <v>0.7</v>
      </c>
      <c r="I21">
        <v>0.6</v>
      </c>
      <c r="J21">
        <v>0.1</v>
      </c>
      <c r="K21">
        <v>0.1</v>
      </c>
      <c r="L21">
        <v>0.8</v>
      </c>
      <c r="M21">
        <v>0.3</v>
      </c>
      <c r="N21">
        <v>0.5</v>
      </c>
      <c r="O21">
        <v>0.9</v>
      </c>
      <c r="P21">
        <v>1</v>
      </c>
      <c r="Q21">
        <v>1</v>
      </c>
      <c r="R21">
        <v>1</v>
      </c>
      <c r="S21">
        <v>0.9</v>
      </c>
      <c r="T21">
        <v>0.6</v>
      </c>
      <c r="U21">
        <v>0.1</v>
      </c>
      <c r="V21">
        <v>0.1</v>
      </c>
      <c r="W21">
        <v>0.8</v>
      </c>
    </row>
    <row r="22" spans="1:23" x14ac:dyDescent="0.25">
      <c r="A22" s="1" t="s">
        <v>18</v>
      </c>
      <c r="B22">
        <v>0.2</v>
      </c>
      <c r="C22">
        <v>0.5</v>
      </c>
      <c r="D22">
        <v>1</v>
      </c>
      <c r="E22">
        <v>1</v>
      </c>
      <c r="F22">
        <v>1</v>
      </c>
      <c r="G22">
        <v>0.9</v>
      </c>
      <c r="H22">
        <v>0.8</v>
      </c>
      <c r="I22">
        <v>0.6</v>
      </c>
      <c r="J22">
        <v>0.1</v>
      </c>
      <c r="K22">
        <v>0.1</v>
      </c>
      <c r="L22">
        <v>0.8</v>
      </c>
      <c r="M22">
        <v>0.2</v>
      </c>
      <c r="N22">
        <v>0.5</v>
      </c>
      <c r="O22">
        <v>1</v>
      </c>
      <c r="P22">
        <v>1</v>
      </c>
      <c r="Q22">
        <v>1</v>
      </c>
      <c r="R22">
        <v>1</v>
      </c>
      <c r="S22">
        <v>1</v>
      </c>
      <c r="T22">
        <v>0.6</v>
      </c>
      <c r="U22">
        <v>0.1</v>
      </c>
      <c r="V22">
        <v>0.1</v>
      </c>
      <c r="W22">
        <v>0.8</v>
      </c>
    </row>
    <row r="23" spans="1:23" x14ac:dyDescent="0.25">
      <c r="A23" s="1" t="s">
        <v>19</v>
      </c>
      <c r="B23">
        <v>0.3</v>
      </c>
      <c r="C23">
        <v>0.7</v>
      </c>
      <c r="D23">
        <v>1</v>
      </c>
      <c r="E23">
        <v>1</v>
      </c>
      <c r="F23">
        <v>0.9</v>
      </c>
      <c r="G23">
        <v>0.8</v>
      </c>
      <c r="H23">
        <v>0.7</v>
      </c>
      <c r="I23">
        <v>0.7</v>
      </c>
      <c r="J23">
        <v>0.1</v>
      </c>
      <c r="K23">
        <v>0.1</v>
      </c>
      <c r="L23">
        <v>0.7</v>
      </c>
      <c r="M23">
        <v>0.3</v>
      </c>
      <c r="N23">
        <v>0.7</v>
      </c>
      <c r="O23">
        <v>1</v>
      </c>
      <c r="P23">
        <v>1</v>
      </c>
      <c r="Q23">
        <v>1</v>
      </c>
      <c r="R23">
        <v>1</v>
      </c>
      <c r="S23">
        <v>0.9</v>
      </c>
      <c r="T23">
        <v>0.7</v>
      </c>
      <c r="U23">
        <v>0.1</v>
      </c>
      <c r="V23">
        <v>0.1</v>
      </c>
      <c r="W23">
        <v>0.7</v>
      </c>
    </row>
    <row r="24" spans="1:23" x14ac:dyDescent="0.25">
      <c r="A24" s="1" t="s">
        <v>20</v>
      </c>
      <c r="B24">
        <v>0.2</v>
      </c>
      <c r="C24">
        <v>0.4</v>
      </c>
      <c r="D24">
        <v>0.9</v>
      </c>
      <c r="E24">
        <v>1</v>
      </c>
      <c r="F24">
        <v>1</v>
      </c>
      <c r="G24">
        <v>0.8</v>
      </c>
      <c r="H24">
        <v>0.7</v>
      </c>
      <c r="I24">
        <v>0.8</v>
      </c>
      <c r="J24">
        <v>0.1</v>
      </c>
      <c r="K24">
        <v>0.1</v>
      </c>
      <c r="L24">
        <v>0.8</v>
      </c>
      <c r="M24">
        <v>0.2</v>
      </c>
      <c r="N24">
        <v>0.4</v>
      </c>
      <c r="O24">
        <v>0.9</v>
      </c>
      <c r="P24">
        <v>1</v>
      </c>
      <c r="Q24">
        <v>1</v>
      </c>
      <c r="R24">
        <v>1</v>
      </c>
      <c r="S24">
        <v>0.9</v>
      </c>
      <c r="T24">
        <v>0.8</v>
      </c>
      <c r="U24">
        <v>0.1</v>
      </c>
      <c r="V24">
        <v>0.1</v>
      </c>
      <c r="W24">
        <v>0.8</v>
      </c>
    </row>
    <row r="25" spans="1:23" x14ac:dyDescent="0.25">
      <c r="A25" s="1" t="s">
        <v>21</v>
      </c>
      <c r="B25">
        <v>0.3</v>
      </c>
      <c r="C25">
        <v>0.5</v>
      </c>
      <c r="D25">
        <v>1</v>
      </c>
      <c r="E25">
        <v>1</v>
      </c>
      <c r="F25">
        <v>1</v>
      </c>
      <c r="G25">
        <v>0.8</v>
      </c>
      <c r="H25">
        <v>0.7</v>
      </c>
      <c r="I25">
        <v>0.7</v>
      </c>
      <c r="J25">
        <v>0.1</v>
      </c>
      <c r="K25">
        <v>0.1</v>
      </c>
      <c r="L25">
        <v>0.8</v>
      </c>
      <c r="M25">
        <v>0.3</v>
      </c>
      <c r="N25">
        <v>0.5</v>
      </c>
      <c r="O25">
        <v>1</v>
      </c>
      <c r="P25">
        <v>1</v>
      </c>
      <c r="Q25">
        <v>1</v>
      </c>
      <c r="R25">
        <v>1</v>
      </c>
      <c r="S25">
        <v>1</v>
      </c>
      <c r="T25">
        <v>0.7</v>
      </c>
      <c r="U25">
        <v>0.1</v>
      </c>
      <c r="V25">
        <v>0.1</v>
      </c>
      <c r="W25">
        <v>0.8</v>
      </c>
    </row>
    <row r="26" spans="1:23" x14ac:dyDescent="0.25">
      <c r="A26" s="1" t="s">
        <v>22</v>
      </c>
      <c r="B26">
        <v>0.2</v>
      </c>
      <c r="C26">
        <v>0.5</v>
      </c>
      <c r="D26">
        <v>1</v>
      </c>
      <c r="E26">
        <v>1</v>
      </c>
      <c r="F26">
        <v>1</v>
      </c>
      <c r="G26">
        <v>0.9</v>
      </c>
      <c r="H26">
        <v>0.8</v>
      </c>
      <c r="I26">
        <v>0.8</v>
      </c>
      <c r="J26">
        <v>0.1</v>
      </c>
      <c r="K26">
        <v>0.1</v>
      </c>
      <c r="L26">
        <v>0.7</v>
      </c>
      <c r="M26">
        <v>0.2</v>
      </c>
      <c r="N26">
        <v>0.5</v>
      </c>
      <c r="O26">
        <v>1</v>
      </c>
      <c r="P26">
        <v>1</v>
      </c>
      <c r="Q26">
        <v>1</v>
      </c>
      <c r="R26">
        <v>1</v>
      </c>
      <c r="S26">
        <v>0.9</v>
      </c>
      <c r="T26">
        <v>0.8</v>
      </c>
      <c r="U26">
        <v>0.1</v>
      </c>
      <c r="V26">
        <v>0.1</v>
      </c>
      <c r="W26">
        <v>0.7</v>
      </c>
    </row>
    <row r="27" spans="1:23" x14ac:dyDescent="0.25">
      <c r="A27" s="1" t="s">
        <v>23</v>
      </c>
      <c r="B27">
        <v>0.4</v>
      </c>
      <c r="C27">
        <v>0.7</v>
      </c>
      <c r="D27">
        <v>1</v>
      </c>
      <c r="E27">
        <v>1</v>
      </c>
      <c r="F27">
        <v>1</v>
      </c>
      <c r="G27">
        <v>0.8</v>
      </c>
      <c r="H27">
        <v>0.7</v>
      </c>
      <c r="I27">
        <v>0.8</v>
      </c>
      <c r="J27">
        <v>0.1</v>
      </c>
      <c r="K27">
        <v>0.1</v>
      </c>
      <c r="L27">
        <v>0.8</v>
      </c>
      <c r="M27">
        <v>0.4</v>
      </c>
      <c r="N27">
        <v>0.7</v>
      </c>
      <c r="O27">
        <v>1</v>
      </c>
      <c r="P27">
        <v>1</v>
      </c>
      <c r="Q27">
        <v>1</v>
      </c>
      <c r="R27">
        <v>1</v>
      </c>
      <c r="S27">
        <v>0.9</v>
      </c>
      <c r="T27">
        <v>0.8</v>
      </c>
      <c r="U27">
        <v>0.1</v>
      </c>
      <c r="V27">
        <v>0.1</v>
      </c>
      <c r="W27">
        <v>0.8</v>
      </c>
    </row>
  </sheetData>
  <mergeCells count="4">
    <mergeCell ref="A1:A3"/>
    <mergeCell ref="B1:W1"/>
    <mergeCell ref="M2:X2"/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I30" sqref="I30"/>
    </sheetView>
  </sheetViews>
  <sheetFormatPr defaultRowHeight="15" x14ac:dyDescent="0.25"/>
  <cols>
    <col min="1" max="1" width="19.28515625" bestFit="1" customWidth="1"/>
    <col min="2" max="2" width="6.85546875" bestFit="1" customWidth="1"/>
    <col min="3" max="5" width="11.42578125" bestFit="1" customWidth="1"/>
    <col min="6" max="6" width="12.42578125" bestFit="1" customWidth="1"/>
    <col min="7" max="7" width="7.85546875" bestFit="1" customWidth="1"/>
    <col min="8" max="8" width="6.85546875" bestFit="1" customWidth="1"/>
    <col min="9" max="11" width="11.42578125" bestFit="1" customWidth="1"/>
    <col min="12" max="12" width="12.42578125" bestFit="1" customWidth="1"/>
    <col min="13" max="13" width="7.85546875" bestFit="1" customWidth="1"/>
  </cols>
  <sheetData>
    <row r="1" spans="1:13" x14ac:dyDescent="0.25">
      <c r="A1" s="49" t="s">
        <v>24</v>
      </c>
      <c r="B1" s="48" t="s">
        <v>83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x14ac:dyDescent="0.25">
      <c r="A2" s="49"/>
      <c r="B2" s="48" t="s">
        <v>86</v>
      </c>
      <c r="C2" s="48"/>
      <c r="D2" s="48"/>
      <c r="E2" s="48"/>
      <c r="F2" s="48"/>
      <c r="G2" s="48"/>
      <c r="H2" s="48" t="s">
        <v>179</v>
      </c>
      <c r="I2" s="48"/>
      <c r="J2" s="48"/>
      <c r="K2" s="48"/>
      <c r="L2" s="48"/>
      <c r="M2" s="48"/>
    </row>
    <row r="3" spans="1:13" x14ac:dyDescent="0.25">
      <c r="A3" s="49"/>
      <c r="B3" s="18" t="s">
        <v>85</v>
      </c>
      <c r="C3" s="18" t="s">
        <v>145</v>
      </c>
      <c r="D3" s="18" t="s">
        <v>146</v>
      </c>
      <c r="E3" s="18" t="s">
        <v>147</v>
      </c>
      <c r="F3" s="18" t="s">
        <v>148</v>
      </c>
      <c r="G3" s="18" t="s">
        <v>149</v>
      </c>
      <c r="H3" s="20" t="s">
        <v>85</v>
      </c>
      <c r="I3" s="20" t="s">
        <v>145</v>
      </c>
      <c r="J3" s="20" t="s">
        <v>146</v>
      </c>
      <c r="K3" s="20" t="s">
        <v>147</v>
      </c>
      <c r="L3" s="20" t="s">
        <v>148</v>
      </c>
      <c r="M3" s="20" t="s">
        <v>149</v>
      </c>
    </row>
    <row r="4" spans="1:13" x14ac:dyDescent="0.25">
      <c r="A4" s="1" t="s">
        <v>0</v>
      </c>
      <c r="B4">
        <v>0.4</v>
      </c>
      <c r="C4">
        <v>0.7</v>
      </c>
      <c r="D4">
        <v>0.9</v>
      </c>
      <c r="E4">
        <v>1</v>
      </c>
      <c r="F4">
        <v>1</v>
      </c>
      <c r="G4">
        <v>1</v>
      </c>
      <c r="H4">
        <v>0.5</v>
      </c>
      <c r="I4">
        <v>0.8</v>
      </c>
      <c r="J4">
        <v>1</v>
      </c>
      <c r="K4">
        <v>1</v>
      </c>
      <c r="L4">
        <v>1</v>
      </c>
      <c r="M4">
        <v>1</v>
      </c>
    </row>
    <row r="5" spans="1:13" x14ac:dyDescent="0.25">
      <c r="A5" s="1" t="s">
        <v>1</v>
      </c>
      <c r="B5">
        <v>0.4</v>
      </c>
      <c r="C5">
        <v>0.7</v>
      </c>
      <c r="D5">
        <v>0.9</v>
      </c>
      <c r="E5">
        <v>1</v>
      </c>
      <c r="F5">
        <v>1</v>
      </c>
      <c r="G5">
        <v>1</v>
      </c>
      <c r="H5">
        <v>0.5</v>
      </c>
      <c r="I5">
        <v>0.8</v>
      </c>
      <c r="J5">
        <v>1</v>
      </c>
      <c r="K5">
        <v>1</v>
      </c>
      <c r="L5">
        <v>1</v>
      </c>
      <c r="M5">
        <v>1</v>
      </c>
    </row>
    <row r="6" spans="1:13" x14ac:dyDescent="0.25">
      <c r="A6" s="1" t="s">
        <v>2</v>
      </c>
      <c r="B6">
        <v>0.1</v>
      </c>
      <c r="C6">
        <v>0.2</v>
      </c>
      <c r="D6">
        <v>0.6</v>
      </c>
      <c r="E6">
        <v>0.8</v>
      </c>
      <c r="F6">
        <v>0.9</v>
      </c>
      <c r="G6">
        <v>1</v>
      </c>
      <c r="H6">
        <v>0.1</v>
      </c>
      <c r="I6">
        <v>0.3</v>
      </c>
      <c r="J6">
        <v>0.7</v>
      </c>
      <c r="K6">
        <v>0.8</v>
      </c>
      <c r="L6">
        <v>1</v>
      </c>
      <c r="M6">
        <v>1</v>
      </c>
    </row>
    <row r="7" spans="1:13" x14ac:dyDescent="0.25">
      <c r="A7" s="1" t="s">
        <v>3</v>
      </c>
      <c r="B7">
        <v>0.1</v>
      </c>
      <c r="C7">
        <v>0.2</v>
      </c>
      <c r="D7">
        <v>0.6</v>
      </c>
      <c r="E7">
        <v>0.8</v>
      </c>
      <c r="F7">
        <v>0.9</v>
      </c>
      <c r="G7">
        <v>1</v>
      </c>
      <c r="H7">
        <v>0.1</v>
      </c>
      <c r="I7">
        <v>0.3</v>
      </c>
      <c r="J7">
        <v>0.7</v>
      </c>
      <c r="K7">
        <v>0.9</v>
      </c>
      <c r="L7">
        <v>1</v>
      </c>
      <c r="M7">
        <v>1</v>
      </c>
    </row>
    <row r="8" spans="1:13" x14ac:dyDescent="0.25">
      <c r="A8" s="1" t="s">
        <v>4</v>
      </c>
      <c r="B8">
        <v>0.1</v>
      </c>
      <c r="C8">
        <v>0.3</v>
      </c>
      <c r="D8">
        <v>0.6</v>
      </c>
      <c r="E8">
        <v>0.8</v>
      </c>
      <c r="F8">
        <v>1</v>
      </c>
      <c r="G8">
        <v>1</v>
      </c>
      <c r="H8">
        <v>0.1</v>
      </c>
      <c r="I8">
        <v>0.4</v>
      </c>
      <c r="J8">
        <v>0.7</v>
      </c>
      <c r="K8">
        <v>0.9</v>
      </c>
      <c r="L8">
        <v>1</v>
      </c>
      <c r="M8">
        <v>1</v>
      </c>
    </row>
    <row r="9" spans="1:13" x14ac:dyDescent="0.25">
      <c r="A9" s="1" t="s">
        <v>5</v>
      </c>
      <c r="B9">
        <v>0.1</v>
      </c>
      <c r="C9">
        <v>0.2</v>
      </c>
      <c r="D9">
        <v>0.5</v>
      </c>
      <c r="E9">
        <v>0.7</v>
      </c>
      <c r="F9">
        <v>0.9</v>
      </c>
      <c r="G9">
        <v>1</v>
      </c>
      <c r="H9">
        <v>0.1</v>
      </c>
      <c r="I9">
        <v>0.3</v>
      </c>
      <c r="J9">
        <v>0.6</v>
      </c>
      <c r="K9">
        <v>0.8</v>
      </c>
      <c r="L9">
        <v>1</v>
      </c>
      <c r="M9">
        <v>1</v>
      </c>
    </row>
    <row r="10" spans="1:13" x14ac:dyDescent="0.25">
      <c r="A10" s="1" t="s">
        <v>6</v>
      </c>
      <c r="B10">
        <v>0.1</v>
      </c>
      <c r="C10">
        <v>0.2</v>
      </c>
      <c r="D10">
        <v>0.5</v>
      </c>
      <c r="E10">
        <v>0.7</v>
      </c>
      <c r="F10">
        <v>0.9</v>
      </c>
      <c r="G10">
        <v>1</v>
      </c>
      <c r="H10">
        <v>0.1</v>
      </c>
      <c r="I10">
        <v>0.3</v>
      </c>
      <c r="J10">
        <v>0.6</v>
      </c>
      <c r="K10">
        <v>0.8</v>
      </c>
      <c r="L10">
        <v>1</v>
      </c>
      <c r="M10">
        <v>1</v>
      </c>
    </row>
    <row r="11" spans="1:13" x14ac:dyDescent="0.25">
      <c r="A11" s="1" t="s">
        <v>7</v>
      </c>
      <c r="B11">
        <v>0.1</v>
      </c>
      <c r="C11">
        <v>0.2</v>
      </c>
      <c r="D11">
        <v>0.6</v>
      </c>
      <c r="E11">
        <v>0.8</v>
      </c>
      <c r="F11">
        <v>1</v>
      </c>
      <c r="G11">
        <v>1</v>
      </c>
      <c r="H11">
        <v>0.1</v>
      </c>
      <c r="I11">
        <v>0.3</v>
      </c>
      <c r="J11">
        <v>0.7</v>
      </c>
      <c r="K11">
        <v>1</v>
      </c>
      <c r="L11">
        <v>1</v>
      </c>
      <c r="M11">
        <v>1</v>
      </c>
    </row>
    <row r="12" spans="1:13" x14ac:dyDescent="0.25">
      <c r="A12" s="1" t="s">
        <v>8</v>
      </c>
      <c r="B12">
        <v>0.2</v>
      </c>
      <c r="C12">
        <v>0.5</v>
      </c>
      <c r="D12">
        <v>0.7</v>
      </c>
      <c r="E12">
        <v>0.9</v>
      </c>
      <c r="F12">
        <v>1</v>
      </c>
      <c r="G12">
        <v>1</v>
      </c>
      <c r="H12">
        <v>0.3</v>
      </c>
      <c r="I12">
        <v>0.4</v>
      </c>
      <c r="J12">
        <v>0.8</v>
      </c>
      <c r="K12">
        <v>1</v>
      </c>
      <c r="L12">
        <v>1</v>
      </c>
      <c r="M12">
        <v>1</v>
      </c>
    </row>
    <row r="13" spans="1:13" x14ac:dyDescent="0.25">
      <c r="A13" s="1" t="s">
        <v>9</v>
      </c>
      <c r="B13">
        <v>0.1</v>
      </c>
      <c r="C13">
        <v>0.4</v>
      </c>
      <c r="D13">
        <v>0.6</v>
      </c>
      <c r="E13">
        <v>0.9</v>
      </c>
      <c r="F13">
        <v>1</v>
      </c>
      <c r="G13">
        <v>1</v>
      </c>
      <c r="H13">
        <v>0.2</v>
      </c>
      <c r="I13">
        <v>0.3</v>
      </c>
      <c r="J13">
        <v>0.6</v>
      </c>
      <c r="K13">
        <v>1</v>
      </c>
      <c r="L13">
        <v>1</v>
      </c>
      <c r="M13">
        <v>1</v>
      </c>
    </row>
    <row r="14" spans="1:13" x14ac:dyDescent="0.25">
      <c r="A14" s="1" t="s">
        <v>10</v>
      </c>
      <c r="B14">
        <v>0.1</v>
      </c>
      <c r="C14">
        <v>0.3</v>
      </c>
      <c r="D14">
        <v>0.6</v>
      </c>
      <c r="E14">
        <v>0.8</v>
      </c>
      <c r="F14">
        <v>1</v>
      </c>
      <c r="G14">
        <v>1</v>
      </c>
      <c r="H14">
        <v>0.2</v>
      </c>
      <c r="I14">
        <v>0.4</v>
      </c>
      <c r="J14">
        <v>0.8</v>
      </c>
      <c r="K14">
        <v>1</v>
      </c>
      <c r="L14">
        <v>1</v>
      </c>
      <c r="M14">
        <v>1</v>
      </c>
    </row>
    <row r="15" spans="1:13" x14ac:dyDescent="0.25">
      <c r="A15" s="1" t="s">
        <v>11</v>
      </c>
      <c r="B15">
        <v>0.1</v>
      </c>
      <c r="C15">
        <v>0.3</v>
      </c>
      <c r="D15">
        <v>0.6</v>
      </c>
      <c r="E15">
        <v>0.8</v>
      </c>
      <c r="F15">
        <v>1</v>
      </c>
      <c r="G15">
        <v>1</v>
      </c>
      <c r="H15">
        <v>0.2</v>
      </c>
      <c r="I15">
        <v>0.4</v>
      </c>
      <c r="J15">
        <v>0.8</v>
      </c>
      <c r="K15">
        <v>1</v>
      </c>
      <c r="L15">
        <v>1</v>
      </c>
      <c r="M15">
        <v>1</v>
      </c>
    </row>
    <row r="16" spans="1:13" x14ac:dyDescent="0.25">
      <c r="A16" s="1" t="s">
        <v>12</v>
      </c>
      <c r="B16">
        <v>0.1</v>
      </c>
      <c r="C16">
        <v>0.3</v>
      </c>
      <c r="D16">
        <v>0.5</v>
      </c>
      <c r="E16">
        <v>0.7</v>
      </c>
      <c r="F16">
        <v>0.9</v>
      </c>
      <c r="G16">
        <v>1</v>
      </c>
      <c r="H16">
        <v>0.2</v>
      </c>
      <c r="I16">
        <v>0.4</v>
      </c>
      <c r="J16">
        <v>0.7</v>
      </c>
      <c r="K16">
        <v>1</v>
      </c>
      <c r="L16">
        <v>1</v>
      </c>
      <c r="M16">
        <v>1</v>
      </c>
    </row>
    <row r="17" spans="1:13" x14ac:dyDescent="0.25">
      <c r="A17" s="1" t="s">
        <v>13</v>
      </c>
      <c r="B17">
        <v>0.1</v>
      </c>
      <c r="C17">
        <v>0.3</v>
      </c>
      <c r="D17">
        <v>0.6</v>
      </c>
      <c r="E17">
        <v>0.8</v>
      </c>
      <c r="F17">
        <v>1</v>
      </c>
      <c r="G17">
        <v>1</v>
      </c>
      <c r="H17">
        <v>0.2</v>
      </c>
      <c r="I17">
        <v>0.4</v>
      </c>
      <c r="J17">
        <v>0.8</v>
      </c>
      <c r="K17">
        <v>1</v>
      </c>
      <c r="L17">
        <v>1</v>
      </c>
      <c r="M17">
        <v>1</v>
      </c>
    </row>
    <row r="18" spans="1:13" x14ac:dyDescent="0.25">
      <c r="A18" s="1" t="s">
        <v>14</v>
      </c>
      <c r="B18">
        <v>0.2</v>
      </c>
      <c r="C18">
        <v>0.5</v>
      </c>
      <c r="D18">
        <v>0.7</v>
      </c>
      <c r="E18">
        <v>0.9</v>
      </c>
      <c r="F18">
        <v>1</v>
      </c>
      <c r="G18">
        <v>1</v>
      </c>
      <c r="H18">
        <v>0.3</v>
      </c>
      <c r="I18">
        <v>0.6</v>
      </c>
      <c r="J18">
        <v>0.9</v>
      </c>
      <c r="K18">
        <v>1</v>
      </c>
      <c r="L18">
        <v>1</v>
      </c>
      <c r="M18">
        <v>1</v>
      </c>
    </row>
    <row r="19" spans="1:13" x14ac:dyDescent="0.25">
      <c r="A19" s="1" t="s">
        <v>15</v>
      </c>
      <c r="B19">
        <v>0.1</v>
      </c>
      <c r="C19">
        <v>0.3</v>
      </c>
      <c r="D19">
        <v>0.6</v>
      </c>
      <c r="E19">
        <v>0.8</v>
      </c>
      <c r="F19">
        <v>1</v>
      </c>
      <c r="G19">
        <v>1</v>
      </c>
      <c r="H19">
        <v>0.2</v>
      </c>
      <c r="I19">
        <v>0.4</v>
      </c>
      <c r="J19">
        <v>0.8</v>
      </c>
      <c r="K19">
        <v>1</v>
      </c>
      <c r="L19">
        <v>1</v>
      </c>
      <c r="M19">
        <v>1</v>
      </c>
    </row>
    <row r="20" spans="1:13" x14ac:dyDescent="0.25">
      <c r="A20" s="1" t="s">
        <v>16</v>
      </c>
      <c r="B20">
        <v>0.1</v>
      </c>
      <c r="C20">
        <v>0.3</v>
      </c>
      <c r="D20">
        <v>0.6</v>
      </c>
      <c r="E20">
        <v>0.8</v>
      </c>
      <c r="F20">
        <v>1</v>
      </c>
      <c r="G20">
        <v>1</v>
      </c>
      <c r="H20">
        <v>0.2</v>
      </c>
      <c r="I20">
        <v>0.4</v>
      </c>
      <c r="J20">
        <v>0.8</v>
      </c>
      <c r="K20">
        <v>1</v>
      </c>
      <c r="L20">
        <v>1</v>
      </c>
      <c r="M20">
        <v>1</v>
      </c>
    </row>
    <row r="21" spans="1:13" x14ac:dyDescent="0.25">
      <c r="A21" s="1" t="s">
        <v>17</v>
      </c>
      <c r="B21">
        <v>0.1</v>
      </c>
      <c r="C21">
        <v>0.3</v>
      </c>
      <c r="D21">
        <v>0.6</v>
      </c>
      <c r="E21">
        <v>0.8</v>
      </c>
      <c r="F21">
        <v>1</v>
      </c>
      <c r="G21">
        <v>1</v>
      </c>
      <c r="H21">
        <v>0.2</v>
      </c>
      <c r="I21">
        <v>0.4</v>
      </c>
      <c r="J21">
        <v>0.8</v>
      </c>
      <c r="K21">
        <v>1</v>
      </c>
      <c r="L21">
        <v>1</v>
      </c>
      <c r="M21">
        <v>1</v>
      </c>
    </row>
    <row r="22" spans="1:13" x14ac:dyDescent="0.25">
      <c r="A22" s="1" t="s">
        <v>18</v>
      </c>
      <c r="B22">
        <v>0.1</v>
      </c>
      <c r="C22">
        <v>0.3</v>
      </c>
      <c r="D22">
        <v>0.6</v>
      </c>
      <c r="E22">
        <v>0.8</v>
      </c>
      <c r="F22">
        <v>1</v>
      </c>
      <c r="G22">
        <v>1</v>
      </c>
      <c r="H22">
        <v>0.2</v>
      </c>
      <c r="I22">
        <v>0.4</v>
      </c>
      <c r="J22">
        <v>0.8</v>
      </c>
      <c r="K22">
        <v>1</v>
      </c>
      <c r="L22">
        <v>1</v>
      </c>
      <c r="M22">
        <v>1</v>
      </c>
    </row>
    <row r="23" spans="1:13" x14ac:dyDescent="0.25">
      <c r="A23" s="1" t="s">
        <v>19</v>
      </c>
      <c r="B23">
        <v>0.1</v>
      </c>
      <c r="C23">
        <v>0.3</v>
      </c>
      <c r="D23">
        <v>0.6</v>
      </c>
      <c r="E23">
        <v>0.8</v>
      </c>
      <c r="F23">
        <v>1</v>
      </c>
      <c r="G23">
        <v>1</v>
      </c>
      <c r="H23">
        <v>0.2</v>
      </c>
      <c r="I23">
        <v>0.4</v>
      </c>
      <c r="J23">
        <v>0.8</v>
      </c>
      <c r="K23">
        <v>1</v>
      </c>
      <c r="L23">
        <v>1</v>
      </c>
      <c r="M23">
        <v>1</v>
      </c>
    </row>
    <row r="24" spans="1:13" x14ac:dyDescent="0.25">
      <c r="A24" s="1" t="s">
        <v>20</v>
      </c>
      <c r="B24">
        <v>0.1</v>
      </c>
      <c r="C24">
        <v>0.3</v>
      </c>
      <c r="D24">
        <v>0.5</v>
      </c>
      <c r="E24">
        <v>0.7</v>
      </c>
      <c r="F24">
        <v>0.9</v>
      </c>
      <c r="G24">
        <v>1</v>
      </c>
      <c r="H24">
        <v>0.2</v>
      </c>
      <c r="I24">
        <v>0.4</v>
      </c>
      <c r="J24">
        <v>0.7</v>
      </c>
      <c r="K24">
        <v>1</v>
      </c>
      <c r="L24">
        <v>1</v>
      </c>
      <c r="M24">
        <v>1</v>
      </c>
    </row>
    <row r="25" spans="1:13" x14ac:dyDescent="0.25">
      <c r="A25" s="1" t="s">
        <v>21</v>
      </c>
      <c r="B25">
        <v>0.1</v>
      </c>
      <c r="C25">
        <v>0.3</v>
      </c>
      <c r="D25">
        <v>0.5</v>
      </c>
      <c r="E25">
        <v>0.7</v>
      </c>
      <c r="F25">
        <v>0.9</v>
      </c>
      <c r="G25">
        <v>1</v>
      </c>
      <c r="H25">
        <v>0.2</v>
      </c>
      <c r="I25">
        <v>0.4</v>
      </c>
      <c r="J25">
        <v>0.7</v>
      </c>
      <c r="K25">
        <v>1</v>
      </c>
      <c r="L25">
        <v>1</v>
      </c>
      <c r="M25">
        <v>1</v>
      </c>
    </row>
    <row r="26" spans="1:13" x14ac:dyDescent="0.25">
      <c r="A26" s="1" t="s">
        <v>22</v>
      </c>
      <c r="B26">
        <v>0.1</v>
      </c>
      <c r="C26">
        <v>0.3</v>
      </c>
      <c r="D26">
        <v>0.6</v>
      </c>
      <c r="E26">
        <v>0.9</v>
      </c>
      <c r="F26">
        <v>1</v>
      </c>
      <c r="G26">
        <v>1</v>
      </c>
      <c r="H26">
        <v>0.2</v>
      </c>
      <c r="I26">
        <v>0.4</v>
      </c>
      <c r="J26">
        <v>0.8</v>
      </c>
      <c r="K26">
        <v>1</v>
      </c>
      <c r="L26">
        <v>1</v>
      </c>
      <c r="M26">
        <v>1</v>
      </c>
    </row>
    <row r="27" spans="1:13" x14ac:dyDescent="0.25">
      <c r="A27" s="1" t="s">
        <v>23</v>
      </c>
      <c r="B27">
        <v>0.1</v>
      </c>
      <c r="C27">
        <v>0.4</v>
      </c>
      <c r="D27">
        <v>0.7</v>
      </c>
      <c r="E27">
        <v>0.9</v>
      </c>
      <c r="F27">
        <v>1</v>
      </c>
      <c r="G27">
        <v>1</v>
      </c>
      <c r="H27">
        <v>0.2</v>
      </c>
      <c r="I27">
        <v>0.5</v>
      </c>
      <c r="J27">
        <v>0.9</v>
      </c>
      <c r="K27">
        <v>1</v>
      </c>
      <c r="L27">
        <v>1</v>
      </c>
      <c r="M27">
        <v>1</v>
      </c>
    </row>
  </sheetData>
  <mergeCells count="4">
    <mergeCell ref="A1:A3"/>
    <mergeCell ref="B2:G2"/>
    <mergeCell ref="H2:M2"/>
    <mergeCell ref="B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B1" sqref="B1:K1"/>
    </sheetView>
  </sheetViews>
  <sheetFormatPr defaultRowHeight="15" x14ac:dyDescent="0.25"/>
  <cols>
    <col min="1" max="1" width="19.28515625" bestFit="1" customWidth="1"/>
    <col min="2" max="2" width="6.7109375" bestFit="1" customWidth="1"/>
    <col min="3" max="5" width="11.28515625" bestFit="1" customWidth="1"/>
    <col min="6" max="7" width="6.7109375" bestFit="1" customWidth="1"/>
    <col min="8" max="10" width="11.28515625" bestFit="1" customWidth="1"/>
    <col min="11" max="11" width="6.7109375" bestFit="1" customWidth="1"/>
    <col min="12" max="12" width="11.42578125" bestFit="1" customWidth="1"/>
    <col min="13" max="13" width="6.85546875" bestFit="1" customWidth="1"/>
  </cols>
  <sheetData>
    <row r="1" spans="1:13" x14ac:dyDescent="0.25">
      <c r="A1" s="49" t="s">
        <v>24</v>
      </c>
      <c r="B1" s="48" t="s">
        <v>87</v>
      </c>
      <c r="C1" s="48"/>
      <c r="D1" s="48"/>
      <c r="E1" s="48"/>
      <c r="F1" s="48"/>
      <c r="G1" s="48"/>
      <c r="H1" s="48"/>
      <c r="I1" s="48"/>
      <c r="J1" s="48"/>
      <c r="K1" s="48"/>
      <c r="L1" s="4"/>
      <c r="M1" s="4"/>
    </row>
    <row r="2" spans="1:13" x14ac:dyDescent="0.25">
      <c r="A2" s="49"/>
      <c r="B2" s="48" t="s">
        <v>89</v>
      </c>
      <c r="C2" s="48"/>
      <c r="D2" s="48"/>
      <c r="E2" s="48"/>
      <c r="F2" s="48"/>
      <c r="G2" s="48" t="s">
        <v>88</v>
      </c>
      <c r="H2" s="48"/>
      <c r="I2" s="48"/>
      <c r="J2" s="48"/>
      <c r="K2" s="48"/>
      <c r="L2" s="4"/>
      <c r="M2" s="4"/>
    </row>
    <row r="3" spans="1:13" x14ac:dyDescent="0.25">
      <c r="A3" s="49"/>
      <c r="B3" s="18" t="s">
        <v>91</v>
      </c>
      <c r="C3" s="18" t="s">
        <v>176</v>
      </c>
      <c r="D3" s="31" t="s">
        <v>175</v>
      </c>
      <c r="E3" s="18" t="s">
        <v>92</v>
      </c>
      <c r="F3" s="1" t="s">
        <v>173</v>
      </c>
      <c r="G3" s="31" t="s">
        <v>91</v>
      </c>
      <c r="H3" s="31" t="s">
        <v>176</v>
      </c>
      <c r="I3" s="31" t="s">
        <v>175</v>
      </c>
      <c r="J3" s="31" t="s">
        <v>92</v>
      </c>
      <c r="K3" s="1" t="s">
        <v>173</v>
      </c>
      <c r="L3" s="18"/>
      <c r="M3" s="1"/>
    </row>
    <row r="4" spans="1:13" x14ac:dyDescent="0.25">
      <c r="A4" s="1" t="s">
        <v>0</v>
      </c>
      <c r="B4">
        <v>0.9</v>
      </c>
      <c r="C4">
        <v>1</v>
      </c>
      <c r="D4">
        <v>1</v>
      </c>
      <c r="E4">
        <v>1</v>
      </c>
      <c r="F4">
        <v>0.9</v>
      </c>
      <c r="G4">
        <v>1</v>
      </c>
      <c r="H4">
        <v>1</v>
      </c>
      <c r="I4">
        <v>1</v>
      </c>
      <c r="J4">
        <v>1</v>
      </c>
      <c r="K4">
        <v>0.9</v>
      </c>
    </row>
    <row r="5" spans="1:13" x14ac:dyDescent="0.25">
      <c r="A5" s="1" t="s">
        <v>1</v>
      </c>
      <c r="B5">
        <v>0.9</v>
      </c>
      <c r="C5">
        <v>1</v>
      </c>
      <c r="D5">
        <v>1</v>
      </c>
      <c r="E5">
        <v>1</v>
      </c>
      <c r="F5">
        <v>0.9</v>
      </c>
      <c r="G5">
        <v>1</v>
      </c>
      <c r="H5">
        <v>1</v>
      </c>
      <c r="I5">
        <v>1</v>
      </c>
      <c r="J5">
        <v>1</v>
      </c>
      <c r="K5">
        <v>0.9</v>
      </c>
    </row>
    <row r="6" spans="1:13" x14ac:dyDescent="0.25">
      <c r="A6" s="1" t="s">
        <v>2</v>
      </c>
      <c r="B6">
        <v>1</v>
      </c>
      <c r="C6">
        <v>1</v>
      </c>
      <c r="D6">
        <v>1</v>
      </c>
      <c r="E6">
        <v>0.9</v>
      </c>
      <c r="F6">
        <v>0.8</v>
      </c>
      <c r="G6">
        <v>1</v>
      </c>
      <c r="H6">
        <v>1</v>
      </c>
      <c r="I6">
        <v>1</v>
      </c>
      <c r="J6">
        <v>0.9</v>
      </c>
      <c r="K6">
        <v>0.8</v>
      </c>
    </row>
    <row r="7" spans="1:13" x14ac:dyDescent="0.25">
      <c r="A7" s="1" t="s">
        <v>3</v>
      </c>
      <c r="B7">
        <v>1</v>
      </c>
      <c r="C7">
        <v>1</v>
      </c>
      <c r="D7">
        <v>1</v>
      </c>
      <c r="E7">
        <v>0.9</v>
      </c>
      <c r="F7">
        <v>0.8</v>
      </c>
      <c r="G7">
        <v>1</v>
      </c>
      <c r="H7">
        <v>1</v>
      </c>
      <c r="I7">
        <v>1</v>
      </c>
      <c r="J7">
        <v>0.9</v>
      </c>
      <c r="K7">
        <v>0.8</v>
      </c>
    </row>
    <row r="8" spans="1:13" x14ac:dyDescent="0.25">
      <c r="A8" s="1" t="s">
        <v>4</v>
      </c>
      <c r="B8">
        <v>1</v>
      </c>
      <c r="C8">
        <v>1</v>
      </c>
      <c r="D8">
        <v>1</v>
      </c>
      <c r="E8">
        <v>1</v>
      </c>
      <c r="F8">
        <v>0.9</v>
      </c>
      <c r="G8">
        <v>1</v>
      </c>
      <c r="H8">
        <v>1</v>
      </c>
      <c r="I8">
        <v>1</v>
      </c>
      <c r="J8">
        <v>1</v>
      </c>
      <c r="K8">
        <v>0.9</v>
      </c>
    </row>
    <row r="9" spans="1:13" x14ac:dyDescent="0.25">
      <c r="A9" s="1" t="s">
        <v>5</v>
      </c>
      <c r="B9">
        <v>1</v>
      </c>
      <c r="C9">
        <v>1</v>
      </c>
      <c r="D9">
        <v>1</v>
      </c>
      <c r="E9">
        <v>0.9</v>
      </c>
      <c r="F9">
        <v>0.8</v>
      </c>
      <c r="G9">
        <v>1</v>
      </c>
      <c r="H9">
        <v>1</v>
      </c>
      <c r="I9">
        <v>1</v>
      </c>
      <c r="J9">
        <v>0.9</v>
      </c>
      <c r="K9">
        <v>0.8</v>
      </c>
    </row>
    <row r="10" spans="1:13" x14ac:dyDescent="0.25">
      <c r="A10" s="1" t="s">
        <v>6</v>
      </c>
      <c r="B10">
        <v>1</v>
      </c>
      <c r="C10">
        <v>1</v>
      </c>
      <c r="D10">
        <v>1</v>
      </c>
      <c r="E10">
        <v>0.9</v>
      </c>
      <c r="F10">
        <v>0.8</v>
      </c>
      <c r="G10">
        <v>1</v>
      </c>
      <c r="H10">
        <v>1</v>
      </c>
      <c r="I10">
        <v>1</v>
      </c>
      <c r="J10">
        <v>0.9</v>
      </c>
      <c r="K10">
        <v>0.8</v>
      </c>
    </row>
    <row r="11" spans="1:13" x14ac:dyDescent="0.25">
      <c r="A11" s="1" t="s">
        <v>7</v>
      </c>
      <c r="B11">
        <v>1</v>
      </c>
      <c r="C11">
        <v>1</v>
      </c>
      <c r="D11">
        <v>1</v>
      </c>
      <c r="E11">
        <v>0.9</v>
      </c>
      <c r="F11">
        <v>0.8</v>
      </c>
      <c r="G11">
        <v>1</v>
      </c>
      <c r="H11">
        <v>1</v>
      </c>
      <c r="I11">
        <v>1</v>
      </c>
      <c r="J11">
        <v>0.9</v>
      </c>
      <c r="K11">
        <v>0.8</v>
      </c>
    </row>
    <row r="12" spans="1:13" x14ac:dyDescent="0.25">
      <c r="A12" s="1" t="s">
        <v>8</v>
      </c>
      <c r="B12">
        <v>1</v>
      </c>
      <c r="C12">
        <v>1</v>
      </c>
      <c r="D12">
        <v>1</v>
      </c>
      <c r="E12">
        <v>0.9</v>
      </c>
      <c r="F12">
        <v>0.8</v>
      </c>
      <c r="G12">
        <v>1</v>
      </c>
      <c r="H12">
        <v>1</v>
      </c>
      <c r="I12">
        <v>1</v>
      </c>
      <c r="J12">
        <v>0.9</v>
      </c>
      <c r="K12">
        <v>0.8</v>
      </c>
    </row>
    <row r="13" spans="1:13" x14ac:dyDescent="0.25">
      <c r="A13" s="1" t="s">
        <v>9</v>
      </c>
      <c r="B13">
        <v>1</v>
      </c>
      <c r="C13">
        <v>1</v>
      </c>
      <c r="D13">
        <v>1</v>
      </c>
      <c r="E13">
        <v>0.9</v>
      </c>
      <c r="F13">
        <v>0.8</v>
      </c>
      <c r="G13">
        <v>1</v>
      </c>
      <c r="H13">
        <v>1</v>
      </c>
      <c r="I13">
        <v>1</v>
      </c>
      <c r="J13">
        <v>0.9</v>
      </c>
      <c r="K13">
        <v>0.8</v>
      </c>
    </row>
    <row r="14" spans="1:13" x14ac:dyDescent="0.25">
      <c r="A14" s="1" t="s">
        <v>10</v>
      </c>
      <c r="B14">
        <v>0.8</v>
      </c>
      <c r="C14">
        <v>1</v>
      </c>
      <c r="D14">
        <v>1</v>
      </c>
      <c r="E14">
        <v>0.9</v>
      </c>
      <c r="F14">
        <v>0.9</v>
      </c>
      <c r="G14">
        <v>1</v>
      </c>
      <c r="H14">
        <v>1</v>
      </c>
      <c r="I14">
        <v>1</v>
      </c>
      <c r="J14">
        <v>0.9</v>
      </c>
      <c r="K14">
        <v>0.9</v>
      </c>
    </row>
    <row r="15" spans="1:13" x14ac:dyDescent="0.25">
      <c r="A15" s="1" t="s">
        <v>11</v>
      </c>
      <c r="B15">
        <v>0.9</v>
      </c>
      <c r="C15">
        <v>1</v>
      </c>
      <c r="D15">
        <v>1</v>
      </c>
      <c r="E15">
        <v>0.9</v>
      </c>
      <c r="F15">
        <v>0.8</v>
      </c>
      <c r="G15">
        <v>1</v>
      </c>
      <c r="H15">
        <v>1</v>
      </c>
      <c r="I15">
        <v>1</v>
      </c>
      <c r="J15">
        <v>0.9</v>
      </c>
      <c r="K15">
        <v>0.8</v>
      </c>
    </row>
    <row r="16" spans="1:13" x14ac:dyDescent="0.25">
      <c r="A16" s="1" t="s">
        <v>12</v>
      </c>
      <c r="B16">
        <v>0.9</v>
      </c>
      <c r="C16">
        <v>1</v>
      </c>
      <c r="D16">
        <v>1</v>
      </c>
      <c r="E16">
        <v>0.9</v>
      </c>
      <c r="F16">
        <v>0.8</v>
      </c>
      <c r="G16">
        <v>1</v>
      </c>
      <c r="H16">
        <v>1</v>
      </c>
      <c r="I16">
        <v>1</v>
      </c>
      <c r="J16">
        <v>0.9</v>
      </c>
      <c r="K16">
        <v>0.8</v>
      </c>
    </row>
    <row r="17" spans="1:11" x14ac:dyDescent="0.25">
      <c r="A17" s="1" t="s">
        <v>13</v>
      </c>
      <c r="B17">
        <v>0.9</v>
      </c>
      <c r="C17">
        <v>1</v>
      </c>
      <c r="D17">
        <v>1</v>
      </c>
      <c r="E17">
        <v>0.9</v>
      </c>
      <c r="F17">
        <v>0.8</v>
      </c>
      <c r="G17">
        <v>1</v>
      </c>
      <c r="H17">
        <v>1</v>
      </c>
      <c r="I17">
        <v>1</v>
      </c>
      <c r="J17">
        <v>0.9</v>
      </c>
      <c r="K17">
        <v>0.8</v>
      </c>
    </row>
    <row r="18" spans="1:11" x14ac:dyDescent="0.25">
      <c r="A18" s="1" t="s">
        <v>14</v>
      </c>
      <c r="B18">
        <v>0.9</v>
      </c>
      <c r="C18">
        <v>1</v>
      </c>
      <c r="D18">
        <v>1</v>
      </c>
      <c r="E18">
        <v>0.9</v>
      </c>
      <c r="F18">
        <v>0.8</v>
      </c>
      <c r="G18">
        <v>1</v>
      </c>
      <c r="H18">
        <v>1</v>
      </c>
      <c r="I18">
        <v>1</v>
      </c>
      <c r="J18">
        <v>0.9</v>
      </c>
      <c r="K18">
        <v>0.8</v>
      </c>
    </row>
    <row r="19" spans="1:11" x14ac:dyDescent="0.25">
      <c r="A19" s="1" t="s">
        <v>15</v>
      </c>
      <c r="B19">
        <v>0.8</v>
      </c>
      <c r="C19">
        <v>1</v>
      </c>
      <c r="D19">
        <v>1</v>
      </c>
      <c r="E19">
        <v>0.9</v>
      </c>
      <c r="F19">
        <v>0.8</v>
      </c>
      <c r="G19">
        <v>1</v>
      </c>
      <c r="H19">
        <v>1</v>
      </c>
      <c r="I19">
        <v>1</v>
      </c>
      <c r="J19">
        <v>0.9</v>
      </c>
      <c r="K19">
        <v>0.8</v>
      </c>
    </row>
    <row r="20" spans="1:11" x14ac:dyDescent="0.25">
      <c r="A20" s="1" t="s">
        <v>16</v>
      </c>
      <c r="B20">
        <v>0.9</v>
      </c>
      <c r="C20">
        <v>1</v>
      </c>
      <c r="D20">
        <v>1</v>
      </c>
      <c r="E20">
        <v>0.9</v>
      </c>
      <c r="F20">
        <v>0.8</v>
      </c>
      <c r="G20">
        <v>1</v>
      </c>
      <c r="H20">
        <v>1</v>
      </c>
      <c r="I20">
        <v>1</v>
      </c>
      <c r="J20">
        <v>0.9</v>
      </c>
      <c r="K20">
        <v>0.8</v>
      </c>
    </row>
    <row r="21" spans="1:11" x14ac:dyDescent="0.25">
      <c r="A21" s="1" t="s">
        <v>17</v>
      </c>
      <c r="B21">
        <v>1</v>
      </c>
      <c r="C21">
        <v>1</v>
      </c>
      <c r="D21">
        <v>1</v>
      </c>
      <c r="E21">
        <v>0.9</v>
      </c>
      <c r="F21">
        <v>0.8</v>
      </c>
      <c r="G21">
        <v>1</v>
      </c>
      <c r="H21">
        <v>1</v>
      </c>
      <c r="I21">
        <v>1</v>
      </c>
      <c r="J21">
        <v>0.9</v>
      </c>
      <c r="K21">
        <v>0.8</v>
      </c>
    </row>
    <row r="22" spans="1:11" x14ac:dyDescent="0.25">
      <c r="A22" s="1" t="s">
        <v>18</v>
      </c>
      <c r="B22">
        <v>1</v>
      </c>
      <c r="C22">
        <v>1</v>
      </c>
      <c r="D22">
        <v>1</v>
      </c>
      <c r="E22">
        <v>0.9</v>
      </c>
      <c r="F22">
        <v>0.8</v>
      </c>
      <c r="G22">
        <v>1</v>
      </c>
      <c r="H22">
        <v>1</v>
      </c>
      <c r="I22">
        <v>1</v>
      </c>
      <c r="J22">
        <v>0.9</v>
      </c>
      <c r="K22">
        <v>0.8</v>
      </c>
    </row>
    <row r="23" spans="1:11" x14ac:dyDescent="0.25">
      <c r="A23" s="1" t="s">
        <v>19</v>
      </c>
      <c r="B23">
        <v>1</v>
      </c>
      <c r="C23">
        <v>1</v>
      </c>
      <c r="D23">
        <v>1</v>
      </c>
      <c r="E23">
        <v>0.9</v>
      </c>
      <c r="F23">
        <v>0.8</v>
      </c>
      <c r="G23">
        <v>1</v>
      </c>
      <c r="H23">
        <v>1</v>
      </c>
      <c r="I23">
        <v>1</v>
      </c>
      <c r="J23">
        <v>0.9</v>
      </c>
      <c r="K23">
        <v>0.8</v>
      </c>
    </row>
    <row r="24" spans="1:11" x14ac:dyDescent="0.25">
      <c r="A24" s="1" t="s">
        <v>20</v>
      </c>
      <c r="B24">
        <v>1</v>
      </c>
      <c r="C24">
        <v>1</v>
      </c>
      <c r="D24">
        <v>1</v>
      </c>
      <c r="E24">
        <v>0.9</v>
      </c>
      <c r="F24">
        <v>0.8</v>
      </c>
      <c r="G24">
        <v>1</v>
      </c>
      <c r="H24">
        <v>1</v>
      </c>
      <c r="I24">
        <v>1</v>
      </c>
      <c r="J24">
        <v>0.9</v>
      </c>
      <c r="K24">
        <v>0.8</v>
      </c>
    </row>
    <row r="25" spans="1:11" x14ac:dyDescent="0.25">
      <c r="A25" s="1" t="s">
        <v>21</v>
      </c>
      <c r="B25">
        <v>1</v>
      </c>
      <c r="C25">
        <v>1</v>
      </c>
      <c r="D25">
        <v>1</v>
      </c>
      <c r="E25">
        <v>0.9</v>
      </c>
      <c r="F25">
        <v>0.8</v>
      </c>
      <c r="G25">
        <v>1</v>
      </c>
      <c r="H25">
        <v>1</v>
      </c>
      <c r="I25">
        <v>1</v>
      </c>
      <c r="J25">
        <v>0.9</v>
      </c>
      <c r="K25">
        <v>0.8</v>
      </c>
    </row>
    <row r="26" spans="1:11" x14ac:dyDescent="0.25">
      <c r="A26" s="1" t="s">
        <v>22</v>
      </c>
      <c r="B26">
        <v>0.9</v>
      </c>
      <c r="C26">
        <v>1</v>
      </c>
      <c r="D26">
        <v>1</v>
      </c>
      <c r="E26">
        <v>0.9</v>
      </c>
      <c r="F26">
        <v>0.9</v>
      </c>
      <c r="G26">
        <v>1</v>
      </c>
      <c r="H26">
        <v>1</v>
      </c>
      <c r="I26">
        <v>1</v>
      </c>
      <c r="J26">
        <v>0.9</v>
      </c>
      <c r="K26">
        <v>0.9</v>
      </c>
    </row>
    <row r="27" spans="1:11" x14ac:dyDescent="0.25">
      <c r="A27" s="1" t="s">
        <v>23</v>
      </c>
      <c r="B27">
        <v>1</v>
      </c>
      <c r="C27">
        <v>1</v>
      </c>
      <c r="D27">
        <v>1</v>
      </c>
      <c r="E27">
        <v>0.9</v>
      </c>
      <c r="F27">
        <v>0.8</v>
      </c>
      <c r="G27">
        <v>1</v>
      </c>
      <c r="H27">
        <v>1</v>
      </c>
      <c r="I27">
        <v>1</v>
      </c>
      <c r="J27">
        <v>0.9</v>
      </c>
      <c r="K27">
        <v>0.8</v>
      </c>
    </row>
  </sheetData>
  <mergeCells count="4">
    <mergeCell ref="A1:A3"/>
    <mergeCell ref="G2:K2"/>
    <mergeCell ref="B2:F2"/>
    <mergeCell ref="B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7"/>
  <sheetViews>
    <sheetView zoomScaleNormal="100" workbookViewId="0">
      <selection activeCell="B2" sqref="B2:J2"/>
    </sheetView>
  </sheetViews>
  <sheetFormatPr defaultRowHeight="15" x14ac:dyDescent="0.25"/>
  <cols>
    <col min="1" max="1" width="19.28515625" bestFit="1" customWidth="1"/>
    <col min="2" max="2" width="7" bestFit="1" customWidth="1"/>
    <col min="3" max="10" width="10.5703125" bestFit="1" customWidth="1"/>
    <col min="11" max="11" width="7" bestFit="1" customWidth="1"/>
    <col min="12" max="20" width="10.5703125" bestFit="1" customWidth="1"/>
    <col min="21" max="22" width="9" bestFit="1" customWidth="1"/>
    <col min="23" max="23" width="10" bestFit="1" customWidth="1"/>
    <col min="24" max="25" width="6.42578125" bestFit="1" customWidth="1"/>
    <col min="26" max="28" width="10.5703125" bestFit="1" customWidth="1"/>
    <col min="29" max="30" width="9" bestFit="1" customWidth="1"/>
    <col min="31" max="31" width="10.5703125" bestFit="1" customWidth="1"/>
    <col min="32" max="32" width="10" bestFit="1" customWidth="1"/>
    <col min="33" max="33" width="6.42578125" bestFit="1" customWidth="1"/>
  </cols>
  <sheetData>
    <row r="1" spans="1:33" x14ac:dyDescent="0.25">
      <c r="A1" s="49" t="s">
        <v>24</v>
      </c>
      <c r="B1" s="50" t="s">
        <v>90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4"/>
      <c r="Z1" s="4"/>
      <c r="AA1" s="4"/>
      <c r="AB1" s="4"/>
      <c r="AC1" s="4"/>
      <c r="AD1" s="4"/>
      <c r="AE1" s="4"/>
      <c r="AF1" s="4"/>
      <c r="AG1" s="4"/>
    </row>
    <row r="2" spans="1:33" x14ac:dyDescent="0.25">
      <c r="A2" s="49"/>
      <c r="B2" s="48" t="s">
        <v>107</v>
      </c>
      <c r="C2" s="48"/>
      <c r="D2" s="48"/>
      <c r="E2" s="48"/>
      <c r="F2" s="48"/>
      <c r="G2" s="48"/>
      <c r="H2" s="48"/>
      <c r="I2" s="48"/>
      <c r="J2" s="48"/>
      <c r="K2" s="50" t="s">
        <v>108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33" x14ac:dyDescent="0.25">
      <c r="A3" s="49"/>
      <c r="B3" s="1" t="s">
        <v>94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101</v>
      </c>
      <c r="J3" s="1" t="s">
        <v>102</v>
      </c>
      <c r="K3" s="1" t="s">
        <v>94</v>
      </c>
      <c r="L3" s="1" t="s">
        <v>95</v>
      </c>
      <c r="M3" s="1" t="s">
        <v>96</v>
      </c>
      <c r="N3" s="1" t="s">
        <v>97</v>
      </c>
      <c r="O3" s="1" t="s">
        <v>98</v>
      </c>
      <c r="P3" s="1" t="s">
        <v>99</v>
      </c>
      <c r="Q3" s="1" t="s">
        <v>100</v>
      </c>
      <c r="R3" s="1" t="s">
        <v>101</v>
      </c>
      <c r="S3" s="1" t="s">
        <v>102</v>
      </c>
      <c r="T3" s="1" t="s">
        <v>103</v>
      </c>
      <c r="U3" s="1" t="s">
        <v>104</v>
      </c>
      <c r="V3" s="1" t="s">
        <v>105</v>
      </c>
      <c r="W3" s="1" t="s">
        <v>109</v>
      </c>
      <c r="X3" s="1" t="s">
        <v>106</v>
      </c>
    </row>
    <row r="4" spans="1:33" x14ac:dyDescent="0.25">
      <c r="A4" s="1" t="s">
        <v>0</v>
      </c>
      <c r="B4">
        <v>0.6</v>
      </c>
      <c r="C4">
        <v>0.7</v>
      </c>
      <c r="D4">
        <v>0.8</v>
      </c>
      <c r="E4">
        <v>0.8</v>
      </c>
      <c r="F4">
        <v>0.9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</v>
      </c>
      <c r="V4">
        <v>0.8</v>
      </c>
      <c r="W4">
        <v>0.7</v>
      </c>
      <c r="X4">
        <v>0.4</v>
      </c>
    </row>
    <row r="5" spans="1:33" x14ac:dyDescent="0.25">
      <c r="A5" s="1" t="s">
        <v>1</v>
      </c>
      <c r="B5">
        <v>0.6</v>
      </c>
      <c r="C5">
        <v>0.7</v>
      </c>
      <c r="D5">
        <v>0.8</v>
      </c>
      <c r="E5">
        <v>0.8</v>
      </c>
      <c r="F5">
        <v>0.9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0.8</v>
      </c>
      <c r="V5">
        <v>0.7</v>
      </c>
      <c r="W5">
        <v>0.6</v>
      </c>
      <c r="X5">
        <v>0.3</v>
      </c>
    </row>
    <row r="6" spans="1:33" x14ac:dyDescent="0.25">
      <c r="A6" s="1" t="s">
        <v>2</v>
      </c>
      <c r="B6">
        <v>0.1</v>
      </c>
      <c r="C6">
        <v>0.4</v>
      </c>
      <c r="D6">
        <v>0.8</v>
      </c>
      <c r="E6">
        <v>0.9</v>
      </c>
      <c r="F6">
        <v>0.9</v>
      </c>
      <c r="G6">
        <v>1</v>
      </c>
      <c r="H6">
        <v>1</v>
      </c>
      <c r="I6">
        <v>1</v>
      </c>
      <c r="J6">
        <v>0.9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0.8</v>
      </c>
      <c r="U6">
        <v>0.7</v>
      </c>
      <c r="V6">
        <v>0.6</v>
      </c>
      <c r="W6">
        <v>0.5</v>
      </c>
      <c r="X6">
        <v>0.2</v>
      </c>
    </row>
    <row r="7" spans="1:33" x14ac:dyDescent="0.25">
      <c r="A7" s="1" t="s">
        <v>3</v>
      </c>
      <c r="B7">
        <v>0.1</v>
      </c>
      <c r="C7">
        <v>0.3</v>
      </c>
      <c r="D7">
        <v>0.5</v>
      </c>
      <c r="E7">
        <v>0.7</v>
      </c>
      <c r="F7">
        <v>0.8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0.9</v>
      </c>
      <c r="U7">
        <v>0.8</v>
      </c>
      <c r="V7">
        <v>0.7</v>
      </c>
      <c r="W7">
        <v>0.6</v>
      </c>
      <c r="X7">
        <v>0.3</v>
      </c>
    </row>
    <row r="8" spans="1:33" x14ac:dyDescent="0.25">
      <c r="A8" s="1" t="s">
        <v>4</v>
      </c>
      <c r="B8">
        <v>0.1</v>
      </c>
      <c r="C8">
        <v>0.4</v>
      </c>
      <c r="D8">
        <v>0.6</v>
      </c>
      <c r="E8">
        <v>0.7</v>
      </c>
      <c r="F8">
        <v>0.8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0.9</v>
      </c>
      <c r="U8">
        <v>0.8</v>
      </c>
      <c r="V8">
        <v>0.7</v>
      </c>
      <c r="W8">
        <v>0.6</v>
      </c>
      <c r="X8">
        <v>0.3</v>
      </c>
    </row>
    <row r="9" spans="1:33" x14ac:dyDescent="0.25">
      <c r="A9" s="1" t="s">
        <v>5</v>
      </c>
      <c r="B9">
        <v>0.1</v>
      </c>
      <c r="C9">
        <v>0.5</v>
      </c>
      <c r="D9">
        <v>0.8</v>
      </c>
      <c r="E9">
        <v>0.9</v>
      </c>
      <c r="F9">
        <v>0.9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0.9</v>
      </c>
      <c r="U9">
        <v>0.8</v>
      </c>
      <c r="V9">
        <v>0.7</v>
      </c>
      <c r="W9">
        <v>0.6</v>
      </c>
      <c r="X9">
        <v>0.3</v>
      </c>
    </row>
    <row r="10" spans="1:33" x14ac:dyDescent="0.25">
      <c r="A10" s="1" t="s">
        <v>6</v>
      </c>
      <c r="B10">
        <v>0.1</v>
      </c>
      <c r="C10">
        <v>0.4</v>
      </c>
      <c r="D10">
        <v>0.6</v>
      </c>
      <c r="E10">
        <v>0.7</v>
      </c>
      <c r="F10">
        <v>0.9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</v>
      </c>
      <c r="V10">
        <v>0.8</v>
      </c>
      <c r="W10">
        <v>0.7</v>
      </c>
      <c r="X10">
        <v>0.4</v>
      </c>
    </row>
    <row r="11" spans="1:33" x14ac:dyDescent="0.25">
      <c r="A11" s="1" t="s">
        <v>7</v>
      </c>
      <c r="B11">
        <v>0.1</v>
      </c>
      <c r="C11">
        <v>0.4</v>
      </c>
      <c r="D11">
        <v>0.6</v>
      </c>
      <c r="E11">
        <v>0.8</v>
      </c>
      <c r="F11">
        <v>0.9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0.9</v>
      </c>
      <c r="U11">
        <v>0.8</v>
      </c>
      <c r="V11">
        <v>0.7</v>
      </c>
      <c r="W11">
        <v>0.6</v>
      </c>
      <c r="X11">
        <v>0.3</v>
      </c>
    </row>
    <row r="12" spans="1:33" x14ac:dyDescent="0.25">
      <c r="A12" s="1" t="s">
        <v>8</v>
      </c>
      <c r="B12">
        <v>0.1</v>
      </c>
      <c r="C12">
        <v>0.3</v>
      </c>
      <c r="D12">
        <v>0.5</v>
      </c>
      <c r="E12">
        <v>0.8</v>
      </c>
      <c r="F12">
        <v>0.9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</v>
      </c>
      <c r="V12">
        <v>0.8</v>
      </c>
      <c r="W12">
        <v>0.7</v>
      </c>
      <c r="X12">
        <v>0.4</v>
      </c>
    </row>
    <row r="13" spans="1:33" x14ac:dyDescent="0.25">
      <c r="A13" s="1" t="s">
        <v>9</v>
      </c>
      <c r="B13">
        <v>0.1</v>
      </c>
      <c r="C13">
        <v>0.3</v>
      </c>
      <c r="D13">
        <v>0.5</v>
      </c>
      <c r="E13">
        <v>0.7</v>
      </c>
      <c r="F13">
        <v>0.9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</v>
      </c>
      <c r="V13">
        <v>0.8</v>
      </c>
      <c r="W13">
        <v>0.7</v>
      </c>
      <c r="X13">
        <v>0.4</v>
      </c>
    </row>
    <row r="14" spans="1:33" x14ac:dyDescent="0.25">
      <c r="A14" s="1" t="s">
        <v>10</v>
      </c>
      <c r="B14">
        <v>0.1</v>
      </c>
      <c r="C14">
        <v>0.4</v>
      </c>
      <c r="D14">
        <v>0.6</v>
      </c>
      <c r="E14">
        <v>0.8</v>
      </c>
      <c r="F14">
        <v>0.9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</v>
      </c>
      <c r="V14">
        <v>0.8</v>
      </c>
      <c r="W14">
        <v>0.7</v>
      </c>
      <c r="X14">
        <v>0.4</v>
      </c>
    </row>
    <row r="15" spans="1:33" x14ac:dyDescent="0.25">
      <c r="A15" s="1" t="s">
        <v>11</v>
      </c>
      <c r="B15">
        <v>0.1</v>
      </c>
      <c r="C15">
        <v>0.3</v>
      </c>
      <c r="D15">
        <v>0.5</v>
      </c>
      <c r="E15">
        <v>0.7</v>
      </c>
      <c r="F15">
        <v>0.9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0.9</v>
      </c>
      <c r="V15">
        <v>0.8</v>
      </c>
      <c r="W15">
        <v>0.7</v>
      </c>
      <c r="X15">
        <v>0.4</v>
      </c>
    </row>
    <row r="16" spans="1:33" x14ac:dyDescent="0.25">
      <c r="A16" s="1" t="s">
        <v>12</v>
      </c>
      <c r="B16">
        <v>0.1</v>
      </c>
      <c r="C16">
        <v>0.3</v>
      </c>
      <c r="D16">
        <v>0.5</v>
      </c>
      <c r="E16">
        <v>0.8</v>
      </c>
      <c r="F16">
        <v>0.9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</v>
      </c>
      <c r="V16">
        <v>0.8</v>
      </c>
      <c r="W16">
        <v>0.7</v>
      </c>
      <c r="X16">
        <v>0.4</v>
      </c>
    </row>
    <row r="17" spans="1:24" x14ac:dyDescent="0.25">
      <c r="A17" s="1" t="s">
        <v>13</v>
      </c>
      <c r="B17">
        <v>0.1</v>
      </c>
      <c r="C17">
        <v>0.2</v>
      </c>
      <c r="D17">
        <v>0.4</v>
      </c>
      <c r="E17">
        <v>0.7</v>
      </c>
      <c r="F17">
        <v>0.9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</v>
      </c>
      <c r="V17">
        <v>0.8</v>
      </c>
      <c r="W17">
        <v>0.7</v>
      </c>
      <c r="X17">
        <v>0.4</v>
      </c>
    </row>
    <row r="18" spans="1:24" x14ac:dyDescent="0.25">
      <c r="A18" s="1" t="s">
        <v>14</v>
      </c>
      <c r="B18">
        <v>0.1</v>
      </c>
      <c r="C18">
        <v>0.6</v>
      </c>
      <c r="D18">
        <v>0.8</v>
      </c>
      <c r="E18">
        <v>0.9</v>
      </c>
      <c r="F18">
        <v>0.9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0.9</v>
      </c>
      <c r="U18">
        <v>0.8</v>
      </c>
      <c r="V18">
        <v>0.7</v>
      </c>
      <c r="W18">
        <v>0.6</v>
      </c>
      <c r="X18">
        <v>0.3</v>
      </c>
    </row>
    <row r="19" spans="1:24" x14ac:dyDescent="0.25">
      <c r="A19" s="1" t="s">
        <v>15</v>
      </c>
      <c r="B19">
        <v>0.1</v>
      </c>
      <c r="C19">
        <v>0.4</v>
      </c>
      <c r="D19">
        <v>0.6</v>
      </c>
      <c r="E19">
        <v>0.8</v>
      </c>
      <c r="F19">
        <v>0.9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</v>
      </c>
      <c r="V19">
        <v>0.8</v>
      </c>
      <c r="W19">
        <v>0.7</v>
      </c>
      <c r="X19">
        <v>0.4</v>
      </c>
    </row>
    <row r="20" spans="1:24" x14ac:dyDescent="0.25">
      <c r="A20" s="1" t="s">
        <v>16</v>
      </c>
      <c r="B20">
        <v>0.1</v>
      </c>
      <c r="C20">
        <v>0.3</v>
      </c>
      <c r="D20">
        <v>0.5</v>
      </c>
      <c r="E20">
        <v>0.7</v>
      </c>
      <c r="F20">
        <v>0.9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</v>
      </c>
      <c r="V20">
        <v>0.8</v>
      </c>
      <c r="W20">
        <v>0.7</v>
      </c>
      <c r="X20">
        <v>0.4</v>
      </c>
    </row>
    <row r="21" spans="1:24" x14ac:dyDescent="0.25">
      <c r="A21" s="1" t="s">
        <v>17</v>
      </c>
      <c r="B21">
        <v>0.1</v>
      </c>
      <c r="C21">
        <v>0.2</v>
      </c>
      <c r="D21">
        <v>0.4</v>
      </c>
      <c r="E21">
        <v>0.7</v>
      </c>
      <c r="F21">
        <v>0.9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</v>
      </c>
      <c r="V21">
        <v>0.8</v>
      </c>
      <c r="W21">
        <v>0.7</v>
      </c>
      <c r="X21">
        <v>0.4</v>
      </c>
    </row>
    <row r="22" spans="1:24" x14ac:dyDescent="0.25">
      <c r="A22" s="1" t="s">
        <v>18</v>
      </c>
      <c r="B22">
        <v>0.1</v>
      </c>
      <c r="C22">
        <v>0.2</v>
      </c>
      <c r="D22">
        <v>0.3</v>
      </c>
      <c r="E22">
        <v>0.5</v>
      </c>
      <c r="F22">
        <v>0.8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0.9</v>
      </c>
      <c r="V22">
        <v>0.8</v>
      </c>
      <c r="W22">
        <v>0.7</v>
      </c>
      <c r="X22">
        <v>0.4</v>
      </c>
    </row>
    <row r="23" spans="1:24" x14ac:dyDescent="0.25">
      <c r="A23" s="1" t="s">
        <v>19</v>
      </c>
      <c r="B23">
        <v>0.1</v>
      </c>
      <c r="C23">
        <v>0.2</v>
      </c>
      <c r="D23">
        <v>0.5</v>
      </c>
      <c r="E23">
        <v>0.7</v>
      </c>
      <c r="F23">
        <v>0.9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0.9</v>
      </c>
      <c r="U23">
        <v>0.8</v>
      </c>
      <c r="V23">
        <v>0.7</v>
      </c>
      <c r="W23">
        <v>0.6</v>
      </c>
      <c r="X23">
        <v>0.3</v>
      </c>
    </row>
    <row r="24" spans="1:24" x14ac:dyDescent="0.25">
      <c r="A24" s="1" t="s">
        <v>20</v>
      </c>
      <c r="B24">
        <v>0.1</v>
      </c>
      <c r="C24">
        <v>0.2</v>
      </c>
      <c r="D24">
        <v>0.3</v>
      </c>
      <c r="E24">
        <v>0.6</v>
      </c>
      <c r="F24">
        <v>0.8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0.9</v>
      </c>
      <c r="V24">
        <v>0.8</v>
      </c>
      <c r="W24">
        <v>0.7</v>
      </c>
      <c r="X24">
        <v>0.4</v>
      </c>
    </row>
    <row r="25" spans="1:24" x14ac:dyDescent="0.25">
      <c r="A25" s="1" t="s">
        <v>21</v>
      </c>
      <c r="B25">
        <v>0.1</v>
      </c>
      <c r="C25">
        <v>0.2</v>
      </c>
      <c r="D25">
        <v>0.3</v>
      </c>
      <c r="E25">
        <v>0.6</v>
      </c>
      <c r="F25">
        <v>0.8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0.9</v>
      </c>
      <c r="V25">
        <v>0.8</v>
      </c>
      <c r="W25">
        <v>0.7</v>
      </c>
      <c r="X25">
        <v>0.4</v>
      </c>
    </row>
    <row r="26" spans="1:24" x14ac:dyDescent="0.25">
      <c r="A26" s="1" t="s">
        <v>22</v>
      </c>
      <c r="B26">
        <v>0.1</v>
      </c>
      <c r="C26">
        <v>0.5</v>
      </c>
      <c r="D26">
        <v>0.8</v>
      </c>
      <c r="E26">
        <v>0.9</v>
      </c>
      <c r="F26">
        <v>0.9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0.8</v>
      </c>
      <c r="U26">
        <v>0.7</v>
      </c>
      <c r="V26">
        <v>0.6</v>
      </c>
      <c r="W26">
        <v>0.5</v>
      </c>
      <c r="X26">
        <v>0.2</v>
      </c>
    </row>
    <row r="27" spans="1:24" x14ac:dyDescent="0.25">
      <c r="A27" s="1" t="s">
        <v>23</v>
      </c>
      <c r="B27">
        <v>0.1</v>
      </c>
      <c r="C27">
        <v>0.2</v>
      </c>
      <c r="D27">
        <v>0.5</v>
      </c>
      <c r="E27">
        <v>0.7</v>
      </c>
      <c r="F27">
        <v>0.9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0.9</v>
      </c>
      <c r="V27">
        <v>0.8</v>
      </c>
      <c r="W27">
        <v>0.7</v>
      </c>
      <c r="X27">
        <v>0.4</v>
      </c>
    </row>
  </sheetData>
  <mergeCells count="4">
    <mergeCell ref="A1:A3"/>
    <mergeCell ref="K2:Z2"/>
    <mergeCell ref="B1:X1"/>
    <mergeCell ref="B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workbookViewId="0">
      <selection activeCell="G27" sqref="G27"/>
    </sheetView>
  </sheetViews>
  <sheetFormatPr defaultRowHeight="15" x14ac:dyDescent="0.25"/>
  <cols>
    <col min="1" max="1" width="19.28515625" bestFit="1" customWidth="1"/>
    <col min="3" max="3" width="8.28515625" bestFit="1" customWidth="1"/>
    <col min="4" max="10" width="10.28515625" bestFit="1" customWidth="1"/>
    <col min="14" max="14" width="9.28515625" bestFit="1" customWidth="1"/>
    <col min="15" max="20" width="10.28515625" bestFit="1" customWidth="1"/>
  </cols>
  <sheetData>
    <row r="1" spans="1:21" x14ac:dyDescent="0.25">
      <c r="A1" s="49" t="s">
        <v>24</v>
      </c>
      <c r="B1" s="50" t="s">
        <v>111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x14ac:dyDescent="0.25">
      <c r="A2" s="49"/>
      <c r="B2" s="50" t="s">
        <v>110</v>
      </c>
      <c r="C2" s="50"/>
      <c r="D2" s="50"/>
      <c r="E2" s="50"/>
      <c r="F2" s="50"/>
      <c r="G2" s="50"/>
      <c r="H2" s="50"/>
      <c r="I2" s="50"/>
      <c r="J2" s="50"/>
      <c r="K2" s="50"/>
      <c r="L2" s="50" t="s">
        <v>122</v>
      </c>
      <c r="M2" s="50"/>
      <c r="N2" s="50"/>
      <c r="O2" s="50"/>
      <c r="P2" s="50"/>
      <c r="Q2" s="50"/>
      <c r="R2" s="50"/>
      <c r="S2" s="50"/>
      <c r="T2" s="50"/>
      <c r="U2" s="50"/>
    </row>
    <row r="3" spans="1:21" x14ac:dyDescent="0.25">
      <c r="A3" s="49"/>
      <c r="B3" s="19" t="s">
        <v>112</v>
      </c>
      <c r="C3" s="19" t="s">
        <v>113</v>
      </c>
      <c r="D3" s="19" t="s">
        <v>118</v>
      </c>
      <c r="E3" s="19" t="s">
        <v>114</v>
      </c>
      <c r="F3" s="19" t="s">
        <v>115</v>
      </c>
      <c r="G3" s="21" t="s">
        <v>119</v>
      </c>
      <c r="H3" s="19" t="s">
        <v>116</v>
      </c>
      <c r="I3" s="21" t="s">
        <v>120</v>
      </c>
      <c r="J3" s="19" t="s">
        <v>121</v>
      </c>
      <c r="K3" s="19" t="s">
        <v>117</v>
      </c>
      <c r="L3" s="19" t="s">
        <v>112</v>
      </c>
      <c r="M3" s="19" t="s">
        <v>113</v>
      </c>
      <c r="N3" s="19" t="s">
        <v>118</v>
      </c>
      <c r="O3" s="19" t="s">
        <v>114</v>
      </c>
      <c r="P3" s="19" t="s">
        <v>115</v>
      </c>
      <c r="Q3" s="21" t="s">
        <v>119</v>
      </c>
      <c r="R3" s="19" t="s">
        <v>116</v>
      </c>
      <c r="S3" s="21" t="s">
        <v>120</v>
      </c>
      <c r="T3" s="19" t="s">
        <v>121</v>
      </c>
      <c r="U3" s="19" t="s">
        <v>117</v>
      </c>
    </row>
    <row r="4" spans="1:21" x14ac:dyDescent="0.25">
      <c r="A4" s="1" t="s">
        <v>0</v>
      </c>
      <c r="B4">
        <v>0.8</v>
      </c>
      <c r="C4">
        <v>0.9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0.7</v>
      </c>
      <c r="M4">
        <v>0.8</v>
      </c>
      <c r="N4">
        <v>0.9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5">
      <c r="A5" s="1" t="s">
        <v>1</v>
      </c>
      <c r="B5">
        <v>0.7</v>
      </c>
      <c r="C5">
        <v>0.8</v>
      </c>
      <c r="D5">
        <v>0.9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0.6</v>
      </c>
      <c r="M5">
        <v>0.7</v>
      </c>
      <c r="N5">
        <v>0.8</v>
      </c>
      <c r="O5">
        <v>0.9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 s="1" t="s">
        <v>2</v>
      </c>
      <c r="B6">
        <v>0.7</v>
      </c>
      <c r="C6">
        <v>0.8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0.9</v>
      </c>
      <c r="L6">
        <v>0.7</v>
      </c>
      <c r="M6">
        <v>0.8</v>
      </c>
      <c r="N6">
        <v>0.9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</v>
      </c>
    </row>
    <row r="7" spans="1:21" x14ac:dyDescent="0.25">
      <c r="A7" s="1" t="s">
        <v>3</v>
      </c>
      <c r="B7">
        <v>0.7</v>
      </c>
      <c r="C7">
        <v>0.8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0.9</v>
      </c>
      <c r="L7">
        <v>0.7</v>
      </c>
      <c r="M7">
        <v>0.8</v>
      </c>
      <c r="N7">
        <v>0.9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</v>
      </c>
    </row>
    <row r="8" spans="1:21" x14ac:dyDescent="0.25">
      <c r="A8" s="1" t="s">
        <v>4</v>
      </c>
      <c r="B8">
        <v>0.7</v>
      </c>
      <c r="C8">
        <v>0.8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0.9</v>
      </c>
      <c r="L8">
        <v>0.7</v>
      </c>
      <c r="M8">
        <v>0.8</v>
      </c>
      <c r="N8">
        <v>0.9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</v>
      </c>
    </row>
    <row r="9" spans="1:21" x14ac:dyDescent="0.25">
      <c r="A9" s="1" t="s">
        <v>5</v>
      </c>
      <c r="B9">
        <v>0.7</v>
      </c>
      <c r="C9">
        <v>0.8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0.9</v>
      </c>
      <c r="K9">
        <v>0.8</v>
      </c>
      <c r="L9">
        <v>0.7</v>
      </c>
      <c r="M9">
        <v>0.8</v>
      </c>
      <c r="N9">
        <v>0.9</v>
      </c>
      <c r="O9">
        <v>1</v>
      </c>
      <c r="P9">
        <v>1</v>
      </c>
      <c r="Q9">
        <v>1</v>
      </c>
      <c r="R9">
        <v>1</v>
      </c>
      <c r="S9">
        <v>1</v>
      </c>
      <c r="T9">
        <v>0.9</v>
      </c>
      <c r="U9">
        <v>0.8</v>
      </c>
    </row>
    <row r="10" spans="1:21" x14ac:dyDescent="0.25">
      <c r="A10" s="1" t="s">
        <v>6</v>
      </c>
      <c r="B10">
        <v>0.6</v>
      </c>
      <c r="C10">
        <v>0.8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0.9</v>
      </c>
      <c r="K10">
        <v>0.8</v>
      </c>
      <c r="L10">
        <v>0.7</v>
      </c>
      <c r="M10">
        <v>0.8</v>
      </c>
      <c r="N10">
        <v>0.9</v>
      </c>
      <c r="O10">
        <v>1</v>
      </c>
      <c r="P10">
        <v>1</v>
      </c>
      <c r="Q10">
        <v>1</v>
      </c>
      <c r="R10">
        <v>1</v>
      </c>
      <c r="S10">
        <v>1</v>
      </c>
      <c r="T10">
        <v>0.9</v>
      </c>
      <c r="U10">
        <v>0.8</v>
      </c>
    </row>
    <row r="11" spans="1:21" x14ac:dyDescent="0.25">
      <c r="A11" s="1" t="s">
        <v>7</v>
      </c>
      <c r="B11">
        <v>0.6</v>
      </c>
      <c r="C11">
        <v>0.8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0.9</v>
      </c>
      <c r="K11">
        <v>0.8</v>
      </c>
      <c r="L11">
        <v>0.7</v>
      </c>
      <c r="M11">
        <v>0.8</v>
      </c>
      <c r="N11">
        <v>0.9</v>
      </c>
      <c r="O11">
        <v>1</v>
      </c>
      <c r="P11">
        <v>1</v>
      </c>
      <c r="Q11">
        <v>1</v>
      </c>
      <c r="R11">
        <v>1</v>
      </c>
      <c r="S11">
        <v>1</v>
      </c>
      <c r="T11">
        <v>0.9</v>
      </c>
      <c r="U11">
        <v>0.8</v>
      </c>
    </row>
    <row r="12" spans="1:21" x14ac:dyDescent="0.25">
      <c r="A12" s="1" t="s">
        <v>8</v>
      </c>
      <c r="B12">
        <v>0.7</v>
      </c>
      <c r="C12">
        <v>0.9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0.8</v>
      </c>
      <c r="K12">
        <v>0.5</v>
      </c>
      <c r="L12">
        <v>0.5</v>
      </c>
      <c r="M12">
        <v>0.7</v>
      </c>
      <c r="N12">
        <v>0.9</v>
      </c>
      <c r="O12">
        <v>1</v>
      </c>
      <c r="P12">
        <v>1</v>
      </c>
      <c r="Q12">
        <v>1</v>
      </c>
      <c r="R12">
        <v>1</v>
      </c>
      <c r="S12">
        <v>1</v>
      </c>
      <c r="T12">
        <v>0.8</v>
      </c>
      <c r="U12">
        <v>0.6</v>
      </c>
    </row>
    <row r="13" spans="1:21" x14ac:dyDescent="0.25">
      <c r="A13" s="1" t="s">
        <v>9</v>
      </c>
      <c r="B13">
        <v>0.6</v>
      </c>
      <c r="C13">
        <v>0.8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0.9</v>
      </c>
      <c r="L13">
        <v>0.5</v>
      </c>
      <c r="M13">
        <v>0.6</v>
      </c>
      <c r="N13">
        <v>0.8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</v>
      </c>
    </row>
    <row r="14" spans="1:21" x14ac:dyDescent="0.25">
      <c r="A14" s="1" t="s">
        <v>10</v>
      </c>
      <c r="B14">
        <v>0.6</v>
      </c>
      <c r="C14">
        <v>0.8</v>
      </c>
      <c r="D14">
        <v>0.9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0.8</v>
      </c>
      <c r="L14">
        <v>0.5</v>
      </c>
      <c r="M14">
        <v>0.6</v>
      </c>
      <c r="N14">
        <v>0.8</v>
      </c>
      <c r="O14">
        <v>0.9</v>
      </c>
      <c r="P14">
        <v>1</v>
      </c>
      <c r="Q14">
        <v>1</v>
      </c>
      <c r="R14">
        <v>1</v>
      </c>
      <c r="S14">
        <v>1</v>
      </c>
      <c r="T14">
        <v>1</v>
      </c>
      <c r="U14">
        <v>0.8</v>
      </c>
    </row>
    <row r="15" spans="1:21" x14ac:dyDescent="0.25">
      <c r="A15" s="1" t="s">
        <v>11</v>
      </c>
      <c r="B15">
        <v>0.6</v>
      </c>
      <c r="C15">
        <v>0.8</v>
      </c>
      <c r="D15">
        <v>0.9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0.8</v>
      </c>
      <c r="L15">
        <v>0.5</v>
      </c>
      <c r="M15">
        <v>0.6</v>
      </c>
      <c r="N15">
        <v>0.8</v>
      </c>
      <c r="O15">
        <v>0.9</v>
      </c>
      <c r="P15">
        <v>1</v>
      </c>
      <c r="Q15">
        <v>1</v>
      </c>
      <c r="R15">
        <v>1</v>
      </c>
      <c r="S15">
        <v>1</v>
      </c>
      <c r="T15">
        <v>1</v>
      </c>
      <c r="U15">
        <v>0.9</v>
      </c>
    </row>
    <row r="16" spans="1:21" x14ac:dyDescent="0.25">
      <c r="A16" s="1" t="s">
        <v>12</v>
      </c>
      <c r="B16">
        <v>0.5</v>
      </c>
      <c r="C16">
        <v>0.8</v>
      </c>
      <c r="D16">
        <v>0.9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0.9</v>
      </c>
      <c r="L16">
        <v>0.4</v>
      </c>
      <c r="M16">
        <v>0.5</v>
      </c>
      <c r="N16">
        <v>0.8</v>
      </c>
      <c r="O16">
        <v>0.9</v>
      </c>
      <c r="P16">
        <v>1</v>
      </c>
      <c r="Q16">
        <v>1</v>
      </c>
      <c r="R16">
        <v>1</v>
      </c>
      <c r="S16">
        <v>1</v>
      </c>
      <c r="T16">
        <v>1</v>
      </c>
      <c r="U16">
        <v>0.9</v>
      </c>
    </row>
    <row r="17" spans="1:21" x14ac:dyDescent="0.25">
      <c r="A17" s="1" t="s">
        <v>13</v>
      </c>
      <c r="B17">
        <v>0.5</v>
      </c>
      <c r="C17">
        <v>0.8</v>
      </c>
      <c r="D17">
        <v>0.9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0.8</v>
      </c>
      <c r="L17">
        <v>0.4</v>
      </c>
      <c r="M17">
        <v>0.5</v>
      </c>
      <c r="N17">
        <v>0.8</v>
      </c>
      <c r="O17">
        <v>0.9</v>
      </c>
      <c r="P17">
        <v>1</v>
      </c>
      <c r="Q17">
        <v>1</v>
      </c>
      <c r="R17">
        <v>1</v>
      </c>
      <c r="S17">
        <v>1</v>
      </c>
      <c r="T17">
        <v>1</v>
      </c>
      <c r="U17">
        <v>0.8</v>
      </c>
    </row>
    <row r="18" spans="1:21" x14ac:dyDescent="0.25">
      <c r="A18" s="1" t="s">
        <v>14</v>
      </c>
      <c r="B18">
        <v>0.5</v>
      </c>
      <c r="C18">
        <v>0.7</v>
      </c>
      <c r="D18">
        <v>0.9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0.9</v>
      </c>
      <c r="L18">
        <v>0.4</v>
      </c>
      <c r="M18">
        <v>0.5</v>
      </c>
      <c r="N18">
        <v>0.7</v>
      </c>
      <c r="O18">
        <v>0.9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 x14ac:dyDescent="0.25">
      <c r="A19" s="1" t="s">
        <v>15</v>
      </c>
      <c r="B19">
        <v>0.4</v>
      </c>
      <c r="C19">
        <v>0.7</v>
      </c>
      <c r="D19">
        <v>0.9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0.8</v>
      </c>
      <c r="L19">
        <v>0.3</v>
      </c>
      <c r="M19">
        <v>0.4</v>
      </c>
      <c r="N19">
        <v>0.7</v>
      </c>
      <c r="O19">
        <v>0.9</v>
      </c>
      <c r="P19">
        <v>1</v>
      </c>
      <c r="Q19">
        <v>1</v>
      </c>
      <c r="R19">
        <v>1</v>
      </c>
      <c r="S19">
        <v>1</v>
      </c>
      <c r="T19">
        <v>0.9</v>
      </c>
      <c r="U19">
        <v>0.8</v>
      </c>
    </row>
    <row r="20" spans="1:21" x14ac:dyDescent="0.25">
      <c r="A20" s="1" t="s">
        <v>16</v>
      </c>
      <c r="B20">
        <v>0.5</v>
      </c>
      <c r="C20">
        <v>0.8</v>
      </c>
      <c r="D20">
        <v>0.9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0.9</v>
      </c>
      <c r="L20">
        <v>0.4</v>
      </c>
      <c r="M20">
        <v>0.5</v>
      </c>
      <c r="N20">
        <v>0.8</v>
      </c>
      <c r="O20">
        <v>0.9</v>
      </c>
      <c r="P20">
        <v>1</v>
      </c>
      <c r="Q20">
        <v>1</v>
      </c>
      <c r="R20">
        <v>1</v>
      </c>
      <c r="S20">
        <v>1</v>
      </c>
      <c r="T20">
        <v>1</v>
      </c>
      <c r="U20">
        <v>0.9</v>
      </c>
    </row>
    <row r="21" spans="1:21" x14ac:dyDescent="0.25">
      <c r="A21" s="1" t="s">
        <v>17</v>
      </c>
      <c r="B21">
        <v>0.6</v>
      </c>
      <c r="C21">
        <v>0.8</v>
      </c>
      <c r="D21">
        <v>0.9</v>
      </c>
      <c r="E21">
        <v>1</v>
      </c>
      <c r="F21">
        <v>1</v>
      </c>
      <c r="G21">
        <v>1</v>
      </c>
      <c r="H21">
        <v>1</v>
      </c>
      <c r="I21">
        <v>1</v>
      </c>
      <c r="J21">
        <v>0.9</v>
      </c>
      <c r="K21">
        <v>0.7</v>
      </c>
      <c r="L21">
        <v>0.5</v>
      </c>
      <c r="M21">
        <v>0.6</v>
      </c>
      <c r="N21">
        <v>0.8</v>
      </c>
      <c r="O21">
        <v>0.9</v>
      </c>
      <c r="P21">
        <v>1</v>
      </c>
      <c r="Q21">
        <v>1</v>
      </c>
      <c r="R21">
        <v>1</v>
      </c>
      <c r="S21">
        <v>1</v>
      </c>
      <c r="T21">
        <v>0.9</v>
      </c>
      <c r="U21">
        <v>0.7</v>
      </c>
    </row>
    <row r="22" spans="1:21" x14ac:dyDescent="0.25">
      <c r="A22" s="1" t="s">
        <v>18</v>
      </c>
      <c r="B22">
        <v>0.5</v>
      </c>
      <c r="C22">
        <v>0.7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0.9</v>
      </c>
      <c r="K22">
        <v>0.8</v>
      </c>
      <c r="L22">
        <v>0.4</v>
      </c>
      <c r="M22">
        <v>0.5</v>
      </c>
      <c r="N22">
        <v>0.7</v>
      </c>
      <c r="O22">
        <v>1</v>
      </c>
      <c r="P22">
        <v>1</v>
      </c>
      <c r="Q22">
        <v>1</v>
      </c>
      <c r="R22">
        <v>1</v>
      </c>
      <c r="S22">
        <v>1</v>
      </c>
      <c r="T22">
        <v>0.9</v>
      </c>
      <c r="U22">
        <v>0.8</v>
      </c>
    </row>
    <row r="23" spans="1:21" x14ac:dyDescent="0.25">
      <c r="A23" s="1" t="s">
        <v>19</v>
      </c>
      <c r="B23">
        <v>0.6</v>
      </c>
      <c r="C23">
        <v>0.8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0.8</v>
      </c>
      <c r="L23">
        <v>0.5</v>
      </c>
      <c r="M23">
        <v>0.6</v>
      </c>
      <c r="N23">
        <v>0.8</v>
      </c>
      <c r="O23">
        <v>1</v>
      </c>
      <c r="P23">
        <v>1</v>
      </c>
      <c r="Q23">
        <v>1</v>
      </c>
      <c r="R23">
        <v>1</v>
      </c>
      <c r="S23">
        <v>1</v>
      </c>
      <c r="T23">
        <v>0.9</v>
      </c>
      <c r="U23">
        <v>0.8</v>
      </c>
    </row>
    <row r="24" spans="1:21" x14ac:dyDescent="0.25">
      <c r="A24" s="1" t="s">
        <v>20</v>
      </c>
      <c r="B24">
        <v>0.4</v>
      </c>
      <c r="C24">
        <v>0.7</v>
      </c>
      <c r="D24">
        <v>0.9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0.9</v>
      </c>
      <c r="L24">
        <v>0.3</v>
      </c>
      <c r="M24">
        <v>0.4</v>
      </c>
      <c r="N24">
        <v>0.7</v>
      </c>
      <c r="O24">
        <v>0.9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 x14ac:dyDescent="0.25">
      <c r="A25" s="1" t="s">
        <v>21</v>
      </c>
      <c r="B25">
        <v>0.6</v>
      </c>
      <c r="C25">
        <v>0.8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0.9</v>
      </c>
      <c r="L25">
        <v>0.5</v>
      </c>
      <c r="M25">
        <v>0.6</v>
      </c>
      <c r="N25">
        <v>0.8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0.9</v>
      </c>
    </row>
    <row r="26" spans="1:21" x14ac:dyDescent="0.25">
      <c r="A26" s="1" t="s">
        <v>22</v>
      </c>
      <c r="B26">
        <v>0.7</v>
      </c>
      <c r="C26">
        <v>0.8</v>
      </c>
      <c r="D26">
        <v>0.9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0.9</v>
      </c>
      <c r="L26">
        <v>0.6</v>
      </c>
      <c r="M26">
        <v>0.7</v>
      </c>
      <c r="N26">
        <v>0.8</v>
      </c>
      <c r="O26">
        <v>0.9</v>
      </c>
      <c r="P26">
        <v>1</v>
      </c>
      <c r="Q26">
        <v>1</v>
      </c>
      <c r="R26">
        <v>1</v>
      </c>
      <c r="S26">
        <v>1</v>
      </c>
      <c r="T26">
        <v>1</v>
      </c>
      <c r="U26">
        <v>0.9</v>
      </c>
    </row>
    <row r="27" spans="1:21" x14ac:dyDescent="0.25">
      <c r="A27" s="1" t="s">
        <v>23</v>
      </c>
      <c r="B27">
        <v>0.5</v>
      </c>
      <c r="C27">
        <v>0.7</v>
      </c>
      <c r="D27">
        <v>0.8</v>
      </c>
      <c r="E27">
        <v>1</v>
      </c>
      <c r="F27">
        <v>1</v>
      </c>
      <c r="G27">
        <v>1</v>
      </c>
      <c r="H27">
        <v>1</v>
      </c>
      <c r="I27">
        <v>1</v>
      </c>
      <c r="J27">
        <v>0.9</v>
      </c>
      <c r="K27">
        <v>0.8</v>
      </c>
      <c r="L27">
        <v>0.4</v>
      </c>
      <c r="M27">
        <v>0.5</v>
      </c>
      <c r="N27">
        <v>0.7</v>
      </c>
      <c r="O27">
        <v>0.8</v>
      </c>
      <c r="P27">
        <v>1</v>
      </c>
      <c r="Q27">
        <v>1</v>
      </c>
      <c r="R27">
        <v>1</v>
      </c>
      <c r="S27">
        <v>1</v>
      </c>
      <c r="T27">
        <v>0.9</v>
      </c>
      <c r="U27">
        <v>0.8</v>
      </c>
    </row>
  </sheetData>
  <mergeCells count="4">
    <mergeCell ref="A1:A3"/>
    <mergeCell ref="B2:K2"/>
    <mergeCell ref="L2:U2"/>
    <mergeCell ref="B1:U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F30" sqref="F30"/>
    </sheetView>
  </sheetViews>
  <sheetFormatPr defaultRowHeight="15" x14ac:dyDescent="0.25"/>
  <cols>
    <col min="1" max="1" width="19.28515625" bestFit="1" customWidth="1"/>
    <col min="2" max="2" width="8.42578125" bestFit="1" customWidth="1"/>
    <col min="3" max="3" width="10.42578125" bestFit="1" customWidth="1"/>
    <col min="4" max="4" width="11.42578125" bestFit="1" customWidth="1"/>
    <col min="5" max="7" width="12.42578125" bestFit="1" customWidth="1"/>
    <col min="8" max="8" width="9.7109375" bestFit="1" customWidth="1"/>
  </cols>
  <sheetData>
    <row r="1" spans="1:8" x14ac:dyDescent="0.25">
      <c r="A1" s="49" t="s">
        <v>24</v>
      </c>
      <c r="B1" s="1" t="s">
        <v>123</v>
      </c>
    </row>
    <row r="2" spans="1:8" ht="18" x14ac:dyDescent="0.35">
      <c r="A2" s="49"/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</row>
    <row r="3" spans="1:8" x14ac:dyDescent="0.25">
      <c r="A3" s="1" t="s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</v>
      </c>
    </row>
    <row r="4" spans="1:8" x14ac:dyDescent="0.25">
      <c r="A4" s="1" t="s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0.9</v>
      </c>
      <c r="H4">
        <v>0.8</v>
      </c>
    </row>
    <row r="5" spans="1:8" x14ac:dyDescent="0.25">
      <c r="A5" s="1" t="s">
        <v>2</v>
      </c>
      <c r="B5">
        <v>1</v>
      </c>
      <c r="C5">
        <v>1</v>
      </c>
      <c r="D5">
        <v>0.9</v>
      </c>
      <c r="E5">
        <v>0.6</v>
      </c>
      <c r="F5">
        <v>0.3</v>
      </c>
      <c r="G5">
        <v>0</v>
      </c>
      <c r="H5">
        <v>0</v>
      </c>
    </row>
    <row r="6" spans="1:8" x14ac:dyDescent="0.25">
      <c r="A6" s="1" t="s">
        <v>3</v>
      </c>
      <c r="B6">
        <v>1</v>
      </c>
      <c r="C6">
        <v>0.9</v>
      </c>
      <c r="D6">
        <v>0.8</v>
      </c>
      <c r="E6">
        <v>0.3</v>
      </c>
      <c r="F6">
        <v>0</v>
      </c>
      <c r="G6">
        <v>0</v>
      </c>
      <c r="H6">
        <v>0</v>
      </c>
    </row>
    <row r="7" spans="1:8" x14ac:dyDescent="0.25">
      <c r="A7" s="1" t="s">
        <v>4</v>
      </c>
      <c r="B7">
        <v>1</v>
      </c>
      <c r="C7">
        <v>1</v>
      </c>
      <c r="D7">
        <v>0.9</v>
      </c>
      <c r="E7">
        <v>0.8</v>
      </c>
      <c r="F7">
        <v>0.7</v>
      </c>
      <c r="G7">
        <v>0.5</v>
      </c>
      <c r="H7">
        <v>0.3</v>
      </c>
    </row>
    <row r="8" spans="1:8" x14ac:dyDescent="0.25">
      <c r="A8" s="1" t="s">
        <v>5</v>
      </c>
      <c r="B8">
        <v>1</v>
      </c>
      <c r="C8">
        <v>1</v>
      </c>
      <c r="D8">
        <v>1</v>
      </c>
      <c r="E8">
        <v>0.9</v>
      </c>
      <c r="F8">
        <v>0.6</v>
      </c>
      <c r="G8">
        <v>0.3</v>
      </c>
      <c r="H8">
        <v>0.1</v>
      </c>
    </row>
    <row r="9" spans="1:8" x14ac:dyDescent="0.25">
      <c r="A9" s="1" t="s">
        <v>6</v>
      </c>
      <c r="B9">
        <v>1</v>
      </c>
      <c r="C9">
        <v>1</v>
      </c>
      <c r="D9">
        <v>1</v>
      </c>
      <c r="E9">
        <v>0.9</v>
      </c>
      <c r="F9">
        <v>0.8</v>
      </c>
      <c r="G9">
        <v>0.6</v>
      </c>
      <c r="H9">
        <v>0.4</v>
      </c>
    </row>
    <row r="10" spans="1:8" x14ac:dyDescent="0.25">
      <c r="A10" s="1" t="s">
        <v>7</v>
      </c>
      <c r="B10">
        <v>1</v>
      </c>
      <c r="C10">
        <v>0.9</v>
      </c>
      <c r="D10">
        <v>0.8</v>
      </c>
      <c r="E10">
        <v>0.5</v>
      </c>
      <c r="F10">
        <v>0.3</v>
      </c>
      <c r="G10">
        <v>0.1</v>
      </c>
      <c r="H10">
        <v>0</v>
      </c>
    </row>
    <row r="11" spans="1:8" x14ac:dyDescent="0.25">
      <c r="A11" s="1" t="s">
        <v>8</v>
      </c>
      <c r="B11">
        <v>1</v>
      </c>
      <c r="C11">
        <v>1</v>
      </c>
      <c r="D11">
        <v>0.8</v>
      </c>
      <c r="E11">
        <v>0.5</v>
      </c>
      <c r="F11">
        <v>0.2</v>
      </c>
      <c r="G11">
        <v>0</v>
      </c>
      <c r="H11">
        <v>0</v>
      </c>
    </row>
    <row r="12" spans="1:8" x14ac:dyDescent="0.25">
      <c r="A12" s="1" t="s">
        <v>9</v>
      </c>
      <c r="B12">
        <v>1</v>
      </c>
      <c r="C12">
        <v>1</v>
      </c>
      <c r="D12">
        <v>0.8</v>
      </c>
      <c r="E12">
        <v>0.5</v>
      </c>
      <c r="F12">
        <v>0.2</v>
      </c>
      <c r="G12">
        <v>0</v>
      </c>
      <c r="H12">
        <v>0</v>
      </c>
    </row>
    <row r="13" spans="1:8" x14ac:dyDescent="0.25">
      <c r="A13" s="1" t="s">
        <v>10</v>
      </c>
      <c r="B13">
        <v>1</v>
      </c>
      <c r="C13">
        <v>1</v>
      </c>
      <c r="D13">
        <v>1</v>
      </c>
      <c r="E13">
        <v>1</v>
      </c>
      <c r="F13">
        <v>0.9</v>
      </c>
      <c r="G13">
        <v>0.8</v>
      </c>
      <c r="H13">
        <v>0.7</v>
      </c>
    </row>
    <row r="14" spans="1:8" x14ac:dyDescent="0.25">
      <c r="A14" s="1" t="s">
        <v>11</v>
      </c>
      <c r="B14">
        <v>1</v>
      </c>
      <c r="C14">
        <v>1</v>
      </c>
      <c r="D14">
        <v>1</v>
      </c>
      <c r="E14">
        <v>1</v>
      </c>
      <c r="F14">
        <v>0.9</v>
      </c>
      <c r="G14">
        <v>0.8</v>
      </c>
      <c r="H14">
        <v>0.7</v>
      </c>
    </row>
    <row r="15" spans="1:8" x14ac:dyDescent="0.25">
      <c r="A15" s="1" t="s">
        <v>12</v>
      </c>
      <c r="B15">
        <v>1</v>
      </c>
      <c r="C15">
        <v>1</v>
      </c>
      <c r="D15">
        <v>1</v>
      </c>
      <c r="E15">
        <v>1</v>
      </c>
      <c r="F15">
        <v>0.9</v>
      </c>
      <c r="G15">
        <v>0.8</v>
      </c>
      <c r="H15">
        <v>0.7</v>
      </c>
    </row>
    <row r="16" spans="1:8" x14ac:dyDescent="0.25">
      <c r="A16" s="1" t="s">
        <v>13</v>
      </c>
      <c r="B16">
        <v>1</v>
      </c>
      <c r="C16">
        <v>1</v>
      </c>
      <c r="D16">
        <v>1</v>
      </c>
      <c r="E16">
        <v>1</v>
      </c>
      <c r="F16">
        <v>0.9</v>
      </c>
      <c r="G16">
        <v>0.8</v>
      </c>
      <c r="H16">
        <v>0.7</v>
      </c>
    </row>
    <row r="17" spans="1:8" x14ac:dyDescent="0.25">
      <c r="A17" s="1" t="s">
        <v>14</v>
      </c>
      <c r="B17">
        <v>1</v>
      </c>
      <c r="C17">
        <v>1</v>
      </c>
      <c r="D17">
        <v>1</v>
      </c>
      <c r="E17">
        <v>1</v>
      </c>
      <c r="F17">
        <v>0.8</v>
      </c>
      <c r="G17">
        <v>0.7</v>
      </c>
      <c r="H17">
        <v>0.6</v>
      </c>
    </row>
    <row r="18" spans="1:8" x14ac:dyDescent="0.25">
      <c r="A18" s="1" t="s">
        <v>15</v>
      </c>
      <c r="B18">
        <v>1</v>
      </c>
      <c r="C18">
        <v>1</v>
      </c>
      <c r="D18">
        <v>1</v>
      </c>
      <c r="E18">
        <v>1</v>
      </c>
      <c r="F18">
        <v>0.9</v>
      </c>
      <c r="G18">
        <v>0.8</v>
      </c>
      <c r="H18">
        <v>0.7</v>
      </c>
    </row>
    <row r="19" spans="1:8" x14ac:dyDescent="0.25">
      <c r="A19" s="1" t="s">
        <v>16</v>
      </c>
      <c r="B19">
        <v>1</v>
      </c>
      <c r="C19">
        <v>1</v>
      </c>
      <c r="D19">
        <v>1</v>
      </c>
      <c r="E19">
        <v>1</v>
      </c>
      <c r="F19">
        <v>0.9</v>
      </c>
      <c r="G19">
        <v>0.8</v>
      </c>
      <c r="H19">
        <v>0.7</v>
      </c>
    </row>
    <row r="20" spans="1:8" x14ac:dyDescent="0.25">
      <c r="A20" s="1" t="s">
        <v>17</v>
      </c>
      <c r="B20">
        <v>1</v>
      </c>
      <c r="C20">
        <v>1</v>
      </c>
      <c r="D20">
        <v>1</v>
      </c>
      <c r="E20">
        <v>1</v>
      </c>
      <c r="F20">
        <v>0.9</v>
      </c>
      <c r="G20">
        <v>0.8</v>
      </c>
      <c r="H20">
        <v>0.7</v>
      </c>
    </row>
    <row r="21" spans="1:8" x14ac:dyDescent="0.25">
      <c r="A21" s="1" t="s">
        <v>18</v>
      </c>
      <c r="B21">
        <v>1</v>
      </c>
      <c r="C21">
        <v>1</v>
      </c>
      <c r="D21">
        <v>1</v>
      </c>
      <c r="E21">
        <v>1</v>
      </c>
      <c r="F21">
        <v>0.9</v>
      </c>
      <c r="G21">
        <v>0.8</v>
      </c>
      <c r="H21">
        <v>0.7</v>
      </c>
    </row>
    <row r="22" spans="1:8" x14ac:dyDescent="0.25">
      <c r="A22" s="1" t="s">
        <v>19</v>
      </c>
      <c r="B22">
        <v>1</v>
      </c>
      <c r="C22">
        <v>1</v>
      </c>
      <c r="D22">
        <v>1</v>
      </c>
      <c r="E22">
        <v>0.9</v>
      </c>
      <c r="F22">
        <v>0.8</v>
      </c>
      <c r="G22">
        <v>0.7</v>
      </c>
      <c r="H22">
        <v>0.6</v>
      </c>
    </row>
    <row r="23" spans="1:8" x14ac:dyDescent="0.25">
      <c r="A23" s="1" t="s">
        <v>20</v>
      </c>
      <c r="B23">
        <v>1</v>
      </c>
      <c r="C23">
        <v>1</v>
      </c>
      <c r="D23">
        <v>1</v>
      </c>
      <c r="E23">
        <v>1</v>
      </c>
      <c r="F23">
        <v>0.9</v>
      </c>
      <c r="G23">
        <v>0.8</v>
      </c>
      <c r="H23">
        <v>0.7</v>
      </c>
    </row>
    <row r="24" spans="1:8" x14ac:dyDescent="0.25">
      <c r="A24" s="1" t="s">
        <v>21</v>
      </c>
      <c r="B24">
        <v>1</v>
      </c>
      <c r="C24">
        <v>1</v>
      </c>
      <c r="D24">
        <v>1</v>
      </c>
      <c r="E24">
        <v>1</v>
      </c>
      <c r="F24">
        <v>1</v>
      </c>
      <c r="G24">
        <v>0.9</v>
      </c>
      <c r="H24">
        <v>0.8</v>
      </c>
    </row>
    <row r="25" spans="1:8" x14ac:dyDescent="0.25">
      <c r="A25" s="1" t="s">
        <v>22</v>
      </c>
      <c r="B25">
        <v>1</v>
      </c>
      <c r="C25">
        <v>1</v>
      </c>
      <c r="D25">
        <v>1</v>
      </c>
      <c r="E25">
        <v>0.9</v>
      </c>
      <c r="F25">
        <v>0.8</v>
      </c>
      <c r="G25">
        <v>0.7</v>
      </c>
      <c r="H25">
        <v>0.6</v>
      </c>
    </row>
    <row r="26" spans="1:8" x14ac:dyDescent="0.25">
      <c r="A26" s="1" t="s">
        <v>23</v>
      </c>
      <c r="B26">
        <v>1</v>
      </c>
      <c r="C26">
        <v>1</v>
      </c>
      <c r="D26">
        <v>1</v>
      </c>
      <c r="E26">
        <v>1</v>
      </c>
      <c r="F26">
        <v>0.9</v>
      </c>
      <c r="G26">
        <v>0.8</v>
      </c>
      <c r="H26">
        <v>0.7</v>
      </c>
    </row>
  </sheetData>
  <mergeCells count="1">
    <mergeCell ref="A1:A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7"/>
  <sheetViews>
    <sheetView zoomScaleNormal="100" workbookViewId="0">
      <selection activeCell="F3" sqref="F3:F4"/>
    </sheetView>
  </sheetViews>
  <sheetFormatPr defaultRowHeight="15" x14ac:dyDescent="0.25"/>
  <cols>
    <col min="1" max="1" width="19.28515625" bestFit="1" customWidth="1"/>
  </cols>
  <sheetData>
    <row r="1" spans="1:68" x14ac:dyDescent="0.25">
      <c r="A1" s="49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x14ac:dyDescent="0.25">
      <c r="A2" s="49"/>
    </row>
    <row r="3" spans="1:68" x14ac:dyDescent="0.25">
      <c r="A3" s="1" t="s">
        <v>0</v>
      </c>
      <c r="B3">
        <v>2</v>
      </c>
      <c r="D3" t="s">
        <v>156</v>
      </c>
      <c r="E3" t="s">
        <v>172</v>
      </c>
      <c r="F3" s="45" t="s">
        <v>107</v>
      </c>
    </row>
    <row r="4" spans="1:68" x14ac:dyDescent="0.25">
      <c r="A4" s="1" t="s">
        <v>1</v>
      </c>
      <c r="B4">
        <v>3</v>
      </c>
      <c r="D4" t="s">
        <v>157</v>
      </c>
      <c r="E4" t="s">
        <v>171</v>
      </c>
      <c r="F4" s="45" t="s">
        <v>108</v>
      </c>
    </row>
    <row r="5" spans="1:68" x14ac:dyDescent="0.25">
      <c r="A5" s="1" t="s">
        <v>2</v>
      </c>
      <c r="B5">
        <v>4</v>
      </c>
      <c r="D5" t="s">
        <v>158</v>
      </c>
      <c r="F5" s="45"/>
    </row>
    <row r="6" spans="1:68" x14ac:dyDescent="0.25">
      <c r="A6" s="1" t="s">
        <v>3</v>
      </c>
      <c r="B6">
        <v>5</v>
      </c>
      <c r="D6" t="s">
        <v>159</v>
      </c>
      <c r="F6" s="4"/>
    </row>
    <row r="7" spans="1:68" x14ac:dyDescent="0.25">
      <c r="A7" s="1" t="s">
        <v>4</v>
      </c>
      <c r="B7">
        <v>6</v>
      </c>
      <c r="F7" s="4"/>
    </row>
    <row r="8" spans="1:68" x14ac:dyDescent="0.25">
      <c r="A8" s="1" t="s">
        <v>5</v>
      </c>
      <c r="B8">
        <v>7</v>
      </c>
      <c r="F8" s="4"/>
    </row>
    <row r="9" spans="1:68" x14ac:dyDescent="0.25">
      <c r="A9" s="1" t="s">
        <v>6</v>
      </c>
      <c r="B9">
        <v>8</v>
      </c>
      <c r="F9" s="4"/>
    </row>
    <row r="10" spans="1:68" x14ac:dyDescent="0.25">
      <c r="A10" s="1" t="s">
        <v>7</v>
      </c>
      <c r="B10">
        <v>9</v>
      </c>
      <c r="F10" s="4"/>
    </row>
    <row r="11" spans="1:68" x14ac:dyDescent="0.25">
      <c r="A11" s="1" t="s">
        <v>8</v>
      </c>
      <c r="B11">
        <v>10</v>
      </c>
      <c r="F11" s="4"/>
    </row>
    <row r="12" spans="1:68" x14ac:dyDescent="0.25">
      <c r="A12" s="1" t="s">
        <v>9</v>
      </c>
      <c r="B12">
        <v>11</v>
      </c>
    </row>
    <row r="13" spans="1:68" x14ac:dyDescent="0.25">
      <c r="A13" s="1" t="s">
        <v>10</v>
      </c>
      <c r="B13">
        <v>12</v>
      </c>
      <c r="F13" s="4"/>
    </row>
    <row r="14" spans="1:68" x14ac:dyDescent="0.25">
      <c r="A14" s="1" t="s">
        <v>11</v>
      </c>
      <c r="B14">
        <v>13</v>
      </c>
      <c r="F14" s="4"/>
    </row>
    <row r="15" spans="1:68" x14ac:dyDescent="0.25">
      <c r="A15" s="1" t="s">
        <v>12</v>
      </c>
      <c r="B15">
        <v>14</v>
      </c>
      <c r="F15" s="4"/>
    </row>
    <row r="16" spans="1:68" x14ac:dyDescent="0.25">
      <c r="A16" s="1" t="s">
        <v>13</v>
      </c>
      <c r="B16">
        <v>15</v>
      </c>
      <c r="F16" s="4"/>
    </row>
    <row r="17" spans="1:6" x14ac:dyDescent="0.25">
      <c r="A17" s="1" t="s">
        <v>14</v>
      </c>
      <c r="B17">
        <v>16</v>
      </c>
      <c r="F17" s="4"/>
    </row>
    <row r="18" spans="1:6" x14ac:dyDescent="0.25">
      <c r="A18" s="1" t="s">
        <v>15</v>
      </c>
      <c r="B18">
        <v>17</v>
      </c>
      <c r="F18" s="4"/>
    </row>
    <row r="19" spans="1:6" x14ac:dyDescent="0.25">
      <c r="A19" s="1" t="s">
        <v>16</v>
      </c>
      <c r="B19">
        <v>18</v>
      </c>
      <c r="F19" s="4"/>
    </row>
    <row r="20" spans="1:6" x14ac:dyDescent="0.25">
      <c r="A20" s="1" t="s">
        <v>17</v>
      </c>
      <c r="B20">
        <v>19</v>
      </c>
      <c r="F20" s="4"/>
    </row>
    <row r="21" spans="1:6" x14ac:dyDescent="0.25">
      <c r="A21" s="1" t="s">
        <v>18</v>
      </c>
      <c r="B21">
        <v>20</v>
      </c>
      <c r="F21" s="4"/>
    </row>
    <row r="22" spans="1:6" x14ac:dyDescent="0.25">
      <c r="A22" s="1" t="s">
        <v>19</v>
      </c>
      <c r="B22">
        <v>21</v>
      </c>
      <c r="F22" s="4"/>
    </row>
    <row r="23" spans="1:6" x14ac:dyDescent="0.25">
      <c r="A23" s="1" t="s">
        <v>20</v>
      </c>
      <c r="B23">
        <v>22</v>
      </c>
      <c r="F23" s="4"/>
    </row>
    <row r="24" spans="1:6" x14ac:dyDescent="0.25">
      <c r="A24" s="1" t="s">
        <v>21</v>
      </c>
      <c r="B24">
        <v>23</v>
      </c>
      <c r="F24" s="4"/>
    </row>
    <row r="25" spans="1:6" x14ac:dyDescent="0.25">
      <c r="A25" s="1" t="s">
        <v>22</v>
      </c>
      <c r="B25">
        <v>24</v>
      </c>
      <c r="F25" s="4"/>
    </row>
    <row r="26" spans="1:6" x14ac:dyDescent="0.25">
      <c r="A26" s="1" t="s">
        <v>23</v>
      </c>
      <c r="B26">
        <v>25</v>
      </c>
      <c r="F26" s="4"/>
    </row>
    <row r="27" spans="1:6" x14ac:dyDescent="0.25">
      <c r="F27" s="4"/>
    </row>
  </sheetData>
  <mergeCells count="1">
    <mergeCell ref="A1:A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zoomScaleNormal="100" workbookViewId="0">
      <selection sqref="A1:X1"/>
    </sheetView>
  </sheetViews>
  <sheetFormatPr defaultRowHeight="15" x14ac:dyDescent="0.25"/>
  <cols>
    <col min="1" max="1" width="10.85546875" bestFit="1" customWidth="1"/>
    <col min="2" max="2" width="11.42578125" bestFit="1" customWidth="1"/>
    <col min="4" max="4" width="8" bestFit="1" customWidth="1"/>
    <col min="5" max="5" width="9.5703125" bestFit="1" customWidth="1"/>
    <col min="6" max="6" width="9.7109375" bestFit="1" customWidth="1"/>
    <col min="7" max="7" width="8.5703125" bestFit="1" customWidth="1"/>
    <col min="8" max="8" width="11" bestFit="1" customWidth="1"/>
    <col min="9" max="9" width="11.85546875" bestFit="1" customWidth="1"/>
    <col min="10" max="10" width="14.28515625" bestFit="1" customWidth="1"/>
    <col min="11" max="11" width="9.42578125" bestFit="1" customWidth="1"/>
    <col min="12" max="12" width="8.42578125" bestFit="1" customWidth="1"/>
    <col min="13" max="13" width="12.140625" bestFit="1" customWidth="1"/>
    <col min="14" max="14" width="19.28515625" bestFit="1" customWidth="1"/>
    <col min="15" max="15" width="10.42578125" bestFit="1" customWidth="1"/>
    <col min="16" max="16" width="18.28515625" bestFit="1" customWidth="1"/>
    <col min="17" max="17" width="9" bestFit="1" customWidth="1"/>
    <col min="18" max="18" width="18.42578125" bestFit="1" customWidth="1"/>
    <col min="19" max="19" width="10.28515625" bestFit="1" customWidth="1"/>
    <col min="20" max="20" width="10.85546875" bestFit="1" customWidth="1"/>
    <col min="21" max="21" width="12" bestFit="1" customWidth="1"/>
    <col min="22" max="22" width="11.85546875" bestFit="1" customWidth="1"/>
    <col min="23" max="23" width="9.7109375" bestFit="1" customWidth="1"/>
    <col min="24" max="24" width="12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Date Inițiale</vt:lpstr>
      <vt:lpstr>Alunecări</vt:lpstr>
      <vt:lpstr>Panta</vt:lpstr>
      <vt:lpstr>Temperatura medie anuală</vt:lpstr>
      <vt:lpstr>Precipitații</vt:lpstr>
      <vt:lpstr>Salinizarea&amp;Alcalizarea</vt:lpstr>
      <vt:lpstr>Gleizarea</vt:lpstr>
      <vt:lpstr>Pseudogleizare</vt:lpstr>
      <vt:lpstr>Adâncimea apelor freatice</vt:lpstr>
      <vt:lpstr>Textura</vt:lpstr>
      <vt:lpstr>Volumul edafic util</vt:lpstr>
      <vt:lpstr>Porozitatea</vt:lpstr>
      <vt:lpstr>pH</vt:lpstr>
      <vt:lpstr>Rezerva de humus</vt:lpstr>
      <vt:lpstr>Conținutul de carbonați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Alexandru -</cp:lastModifiedBy>
  <dcterms:created xsi:type="dcterms:W3CDTF">2025-06-17T14:34:26Z</dcterms:created>
  <dcterms:modified xsi:type="dcterms:W3CDTF">2025-11-15T02:45:22Z</dcterms:modified>
</cp:coreProperties>
</file>